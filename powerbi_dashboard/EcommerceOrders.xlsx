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wc-my.sharepoint.com/personal/khushi_r_golecha_pwc_com/Documents/Downloads/"/>
    </mc:Choice>
  </mc:AlternateContent>
  <xr:revisionPtr revIDLastSave="588" documentId="8_{826F62DC-C545-49D3-87A2-6737E0D71166}" xr6:coauthVersionLast="47" xr6:coauthVersionMax="47" xr10:uidLastSave="{0363C2F5-4DF9-40DA-9537-F23E63387117}"/>
  <bookViews>
    <workbookView xWindow="-110" yWindow="-110" windowWidth="19420" windowHeight="11500" tabRatio="642" xr2:uid="{5B217057-A0F1-44A3-9757-D52B9B9BA6FF}"/>
  </bookViews>
  <sheets>
    <sheet name="Orders" sheetId="1" r:id="rId1"/>
    <sheet name="Summary" sheetId="3" r:id="rId2"/>
    <sheet name="Pivot Analysis" sheetId="5" r:id="rId3"/>
    <sheet name="Dashboard" sheetId="6" r:id="rId4"/>
    <sheet name="Business Insights" sheetId="7" r:id="rId5"/>
  </sheets>
  <definedNames>
    <definedName name="_xlnm._FilterDatabase" localSheetId="2" hidden="1">'Pivot Analysis'!$A$58:$C$79</definedName>
  </definedNames>
  <calcPr calcId="0"/>
  <pivotCaches>
    <pivotCache cacheId="26" r:id="rId6"/>
  </pivotCaches>
</workbook>
</file>

<file path=xl/sharedStrings.xml><?xml version="1.0" encoding="utf-8"?>
<sst xmlns="http://schemas.openxmlformats.org/spreadsheetml/2006/main" count="759" uniqueCount="329">
  <si>
    <t>ID</t>
  </si>
  <si>
    <t>Customer_Name</t>
  </si>
  <si>
    <t>Order_ID</t>
  </si>
  <si>
    <t>Order_Date</t>
  </si>
  <si>
    <t>Product</t>
  </si>
  <si>
    <t>Category</t>
  </si>
  <si>
    <t>Quantity</t>
  </si>
  <si>
    <t>Price</t>
  </si>
  <si>
    <t>Payment_Method</t>
  </si>
  <si>
    <t>Status</t>
  </si>
  <si>
    <t>Total</t>
  </si>
  <si>
    <t>Order Date1</t>
  </si>
  <si>
    <t>Revenue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</si>
  <si>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</si>
  <si>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</si>
  <si>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</si>
  <si>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</si>
  <si>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</si>
  <si>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</si>
  <si>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</si>
  <si>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</si>
  <si>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</si>
  <si>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</si>
  <si>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</si>
  <si>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</si>
  <si>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</si>
  <si>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</si>
  <si>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</si>
  <si>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</si>
  <si>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</si>
  <si>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</si>
  <si>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</si>
  <si>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</si>
  <si>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</si>
  <si>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</si>
  <si>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</si>
  <si>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</si>
  <si>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</si>
  <si>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</si>
  <si>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</si>
  <si>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</si>
  <si>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</si>
  <si>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</si>
  <si>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</si>
  <si>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</si>
  <si>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</si>
  <si>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</si>
  <si>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</si>
  <si>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</si>
  <si>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</si>
  <si>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</si>
  <si>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</si>
  <si>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</si>
  <si>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10/23/2025</t>
  </si>
  <si>
    <t>Customer_109</t>
  </si>
  <si>
    <t>ORD-18512</t>
  </si>
  <si>
    <t>Credit Card</t>
  </si>
  <si>
    <t>Customer_110</t>
  </si>
  <si>
    <t>ORD-61020</t>
  </si>
  <si>
    <t>9/26/2025</t>
  </si>
  <si>
    <t>Basketball</t>
  </si>
  <si>
    <t>Customer_111</t>
  </si>
  <si>
    <t>ORD-72349</t>
  </si>
  <si>
    <t>10/22/2025</t>
  </si>
  <si>
    <t>Comics</t>
  </si>
  <si>
    <t>Customer_112</t>
  </si>
  <si>
    <t>ORD-80867</t>
  </si>
  <si>
    <t>Shoes</t>
  </si>
  <si>
    <t>Clothing</t>
  </si>
  <si>
    <t>Customer_113</t>
  </si>
  <si>
    <t>ORD-23994</t>
  </si>
  <si>
    <t>7/24/2025</t>
  </si>
  <si>
    <t>Fiction</t>
  </si>
  <si>
    <t>Customer_115</t>
  </si>
  <si>
    <t>ORD-72778</t>
  </si>
  <si>
    <t>Customer_116</t>
  </si>
  <si>
    <t>ORD-63660</t>
  </si>
  <si>
    <t>10/30/2025</t>
  </si>
  <si>
    <t>Microwave</t>
  </si>
  <si>
    <t>Customer_117</t>
  </si>
  <si>
    <t>ORD-72751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</si>
  <si>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</si>
  <si>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</si>
  <si>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</si>
  <si>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</si>
  <si>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</si>
  <si>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</si>
  <si>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</si>
  <si>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</si>
  <si>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</si>
  <si>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</si>
  <si>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Customer_121</t>
  </si>
  <si>
    <t>ORD-80067</t>
  </si>
  <si>
    <t>Customer_122</t>
  </si>
  <si>
    <t>ORD-21443</t>
  </si>
  <si>
    <t>5/16/2025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</si>
  <si>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</si>
  <si>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</si>
  <si>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</si>
  <si>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</si>
  <si>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</si>
  <si>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</si>
  <si>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</si>
  <si>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</si>
  <si>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</si>
  <si>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5/18/2025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</si>
  <si>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</si>
  <si>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</si>
  <si>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</si>
  <si>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</si>
  <si>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</si>
  <si>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</si>
  <si>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</si>
  <si>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</si>
  <si>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</si>
  <si>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</si>
  <si>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</si>
  <si>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</si>
  <si>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</si>
  <si>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Customer_132</t>
  </si>
  <si>
    <t>ORD-40186</t>
  </si>
  <si>
    <t>Customer_133</t>
  </si>
  <si>
    <t>ORD-68182</t>
  </si>
  <si>
    <t>Unknown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</si>
  <si>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</si>
  <si>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</si>
  <si>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</si>
  <si>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</si>
  <si>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</si>
  <si>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</si>
  <si>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</si>
  <si>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</si>
  <si>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</si>
  <si>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</si>
  <si>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</si>
  <si>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2/23/2025</t>
  </si>
  <si>
    <t>Customer_138</t>
  </si>
  <si>
    <t>ORD-34319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</si>
  <si>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</si>
  <si>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</si>
  <si>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</si>
  <si>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</si>
  <si>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</si>
  <si>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</si>
  <si>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</si>
  <si>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</si>
  <si>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</si>
  <si>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</si>
  <si>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</si>
  <si>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</si>
  <si>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Customer_144</t>
  </si>
  <si>
    <t>ORD-89452</t>
  </si>
  <si>
    <t>1/27/2025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</si>
  <si>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</si>
  <si>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</si>
  <si>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</si>
  <si>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</si>
  <si>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</si>
  <si>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</si>
  <si>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</si>
  <si>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</si>
  <si>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</si>
  <si>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</si>
  <si>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</si>
  <si>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</si>
  <si>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</si>
  <si>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</si>
  <si>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</si>
  <si>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</si>
  <si>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</si>
  <si>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</si>
  <si>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</si>
  <si>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</si>
  <si>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</si>
  <si>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</si>
  <si>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</si>
  <si>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</si>
  <si>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</si>
  <si>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</si>
  <si>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</si>
  <si>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</si>
  <si>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</si>
  <si>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</si>
  <si>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</si>
  <si>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</si>
  <si>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</si>
  <si>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</si>
  <si>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</si>
  <si>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</si>
  <si>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</si>
  <si>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</si>
  <si>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</si>
  <si>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</si>
  <si>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</si>
  <si>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</si>
  <si>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</si>
  <si>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</si>
  <si>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</si>
  <si>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</si>
  <si>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</si>
  <si>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</si>
  <si>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</si>
  <si>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</si>
  <si>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</si>
  <si>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</si>
  <si>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</si>
  <si>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</si>
  <si>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</si>
  <si>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</si>
  <si>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</si>
  <si>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</si>
  <si>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</si>
  <si>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</si>
  <si>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</si>
  <si>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</si>
  <si>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</si>
  <si>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</si>
  <si>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</si>
  <si>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</si>
  <si>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</si>
  <si>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</si>
  <si>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</si>
  <si>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</si>
  <si>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</si>
  <si>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</si>
  <si>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</si>
  <si>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</si>
  <si>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</si>
  <si>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</si>
  <si>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</si>
  <si>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</si>
  <si>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</si>
  <si>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</si>
  <si>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</si>
  <si>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</si>
  <si>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</si>
  <si>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</si>
  <si>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</si>
  <si>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</si>
  <si>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</si>
  <si>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</si>
  <si>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</si>
  <si>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</si>
  <si>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</si>
  <si>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</si>
  <si>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</si>
  <si>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</si>
  <si>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</si>
  <si>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</si>
  <si>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</si>
  <si>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</si>
  <si>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Customer_183</t>
  </si>
  <si>
    <t>ORD-20916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</si>
  <si>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</si>
  <si>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</si>
  <si>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</si>
  <si>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</si>
  <si>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</si>
  <si>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</si>
  <si>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</si>
  <si>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</si>
  <si>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</si>
  <si>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</si>
  <si>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</si>
  <si>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</si>
  <si>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</si>
  <si>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</si>
  <si>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</si>
  <si>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</si>
  <si>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</si>
  <si>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</si>
  <si>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</si>
  <si>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</si>
  <si>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Customer_193</t>
  </si>
  <si>
    <t>ORD-42475</t>
  </si>
  <si>
    <t>Customer_194</t>
  </si>
  <si>
    <t>ORD-69764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</si>
  <si>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</si>
  <si>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</si>
  <si>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</si>
  <si>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</si>
  <si>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</si>
  <si>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</si>
  <si>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</si>
  <si>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</si>
  <si>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</si>
  <si>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</si>
  <si>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</si>
  <si>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</si>
  <si>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</si>
  <si>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</si>
  <si>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Row Labels</t>
  </si>
  <si>
    <t>Grand Total</t>
  </si>
  <si>
    <t>Total Orders</t>
  </si>
  <si>
    <t>Total Revenue</t>
  </si>
  <si>
    <t>Average Order Value</t>
  </si>
  <si>
    <t>Highest Order</t>
  </si>
  <si>
    <t>Lowest Order</t>
  </si>
  <si>
    <t>Total Customers</t>
  </si>
  <si>
    <t>Total Products</t>
  </si>
  <si>
    <t>Average Quantity</t>
  </si>
  <si>
    <t>Sum of Total</t>
  </si>
  <si>
    <t>Count of Order_ID</t>
  </si>
  <si>
    <t>Sum of Quantity</t>
  </si>
  <si>
    <t>2023</t>
  </si>
  <si>
    <t>2024</t>
  </si>
  <si>
    <t>2025</t>
  </si>
  <si>
    <t>Revenue by Category</t>
  </si>
  <si>
    <t>Revenue by Payment Method</t>
  </si>
  <si>
    <t>Orders by Status</t>
  </si>
  <si>
    <t>Top 10 Products</t>
  </si>
  <si>
    <t>Monthly Revenue</t>
  </si>
  <si>
    <t>Jan</t>
  </si>
  <si>
    <t>May</t>
  </si>
  <si>
    <t>Nov</t>
  </si>
  <si>
    <t>Dec</t>
  </si>
  <si>
    <t>Feb</t>
  </si>
  <si>
    <t>Mar</t>
  </si>
  <si>
    <t>Apr</t>
  </si>
  <si>
    <t>Jun</t>
  </si>
  <si>
    <t>Jul</t>
  </si>
  <si>
    <t>Aug</t>
  </si>
  <si>
    <t>Sep</t>
  </si>
  <si>
    <t>Oct</t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</si>
  <si>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The </t>
    </r>
    <r>
      <rPr>
        <b/>
        <sz val="11"/>
        <color theme="1"/>
        <rFont val="Aptos Narrow"/>
        <family val="2"/>
        <scheme val="minor"/>
      </rPr>
      <t>top 5 products</t>
    </r>
    <r>
      <rPr>
        <sz val="11"/>
        <color theme="1"/>
        <rFont val="Aptos Narrow"/>
        <family val="2"/>
        <scheme val="minor"/>
      </rPr>
      <t xml:space="preserve"> generated the highest revenue and should be prioritized for inventory planning.</t>
    </r>
  </si>
  <si>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. Certain </t>
    </r>
    <r>
      <rPr>
        <b/>
        <sz val="11"/>
        <color theme="1"/>
        <rFont val="Aptos Narrow"/>
        <family val="2"/>
        <scheme val="minor"/>
      </rPr>
      <t>payment methods</t>
    </r>
    <r>
      <rPr>
        <sz val="11"/>
        <color theme="1"/>
        <rFont val="Aptos Narrow"/>
        <family val="2"/>
        <scheme val="minor"/>
      </rPr>
      <t xml:space="preserve"> contributed a larger share of total revenue, indicating customer payment preferences.</t>
    </r>
  </si>
  <si>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. Monthly revenue trends reveal seasonal peaks and slower periods that can guide marketing campaigns.</t>
    </r>
  </si>
  <si>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. A small number of </t>
    </r>
    <r>
      <rPr>
        <b/>
        <sz val="11"/>
        <color theme="1"/>
        <rFont val="Aptos Narrow"/>
        <family val="2"/>
        <scheme val="minor"/>
      </rPr>
      <t>high-value orders</t>
    </r>
    <r>
      <rPr>
        <sz val="11"/>
        <color theme="1"/>
        <rFont val="Aptos Narrow"/>
        <family val="2"/>
        <scheme val="minor"/>
      </rPr>
      <t xml:space="preserve"> contribute disproportionately to total revenue, suggesting opportunities for targeted customer retention.</t>
    </r>
  </si>
  <si>
    <r>
      <t>3</t>
    </r>
    <r>
      <rPr>
        <sz val="11"/>
        <color theme="1"/>
        <rFont val="Aptos Narrow"/>
        <family val="2"/>
        <scheme val="minor"/>
      </rPr>
      <t>.</t>
    </r>
    <r>
      <rPr>
        <b/>
        <sz val="11"/>
        <color theme="1"/>
        <rFont val="Aptos Narrow"/>
        <family val="2"/>
        <scheme val="minor"/>
      </rPr>
      <t xml:space="preserve"> Completed orders</t>
    </r>
    <r>
      <rPr>
        <sz val="11"/>
        <color theme="1"/>
        <rFont val="Aptos Narrow"/>
        <family val="2"/>
        <scheme val="minor"/>
      </rPr>
      <t xml:space="preserve"> account for the majority of revenue, while cancelled or returned orders should be monitored.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</si>
</sst>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43" fontId="0" fillId="0" borderId="10" xfId="0" applyNumberFormat="1" applyBorder="1"/>
    <xf numFmtId="0" fontId="0" fillId="0" borderId="0" xfId="0" applyAlignment="1">
      <alignment horizontal="center" vertical="center"/>
    </xf>
    <xf numFmtId="0" fontId="0" fillId="0" borderId="10" xfId="0" applyNumberFormat="1" applyBorder="1"/>
    <xf numFmtId="43" fontId="0" fillId="0" borderId="10" xfId="0" applyNumberFormat="1" applyFont="1" applyBorder="1"/>
    <xf numFmtId="0" fontId="0" fillId="0" borderId="10" xfId="0" applyBorder="1" applyAlignment="1">
      <alignment horizontal="left" indent="1"/>
    </xf>
    <xf numFmtId="0" fontId="0" fillId="0" borderId="12" xfId="0" pivotButton="1" applyBorder="1"/>
    <xf numFmtId="0" fontId="0" fillId="0" borderId="12" xfId="0" applyBorder="1"/>
    <xf numFmtId="0" fontId="16" fillId="0" borderId="1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6"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[EcommerceOrders.xlsx]Pivot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1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500" i="1" u="sng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1" u="sng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'Pivot Analysis'!$B$4:$B$10</c:f>
              <c:numCache>
                <c:formatCode>_(* #,##0.00_);_(* \(#,##0.00\);_(* "-"??_);_(@_)</c:formatCode>
                <c:ptCount val="6"/>
                <c:pt idx="0">
                  <c:v>41048.859999999986</c:v>
                </c:pt>
                <c:pt idx="1">
                  <c:v>29078.130000000012</c:v>
                </c:pt>
                <c:pt idx="2">
                  <c:v>10891.98</c:v>
                </c:pt>
                <c:pt idx="3">
                  <c:v>16427.769999999979</c:v>
                </c:pt>
                <c:pt idx="4">
                  <c:v>29418.699999999997</c:v>
                </c:pt>
                <c:pt idx="5">
                  <c:v>8634.3900000000012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9-4AB7-B64E-746D578EA5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22705439"/>
        <c:axId val="522703999"/>
      </c:barChart>
      <c:catAx>
        <c:axId val="522705439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03999"/>
        <c:crosses val="autoZero"/>
        <c:auto val="1"/>
        <c:lblAlgn val="ctr"/>
        <c:lblOffset val="100"/>
        <c:noMultiLvlLbl val="0"/>
      </c:catAx>
      <c:valAx>
        <c:axId val="52270399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5227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solidFill>
                  <a:sysClr val="windowText" lastClr="000000"/>
                </a:solidFill>
                <a:effectLst/>
              </a:rPr>
              <a:t>Revenue by Payment Method </a:t>
            </a:r>
            <a:endParaRPr lang="en-US" sz="15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effectLst>
              <a:innerShdw blurRad="114300">
                <a:prstClr val="black"/>
              </a:innerShdw>
            </a:effectLst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F736-444A-9837-5F6D6E783489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736-444A-9837-5F6D6E783489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F736-444A-9837-5F6D6E78348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736-444A-9837-5F6D6E783489}"/>
              </c:ext>
            </c:extLst>
          </c:dPt>
          <c:cat>
            <c:strRef>
              <c:f>'Pivot Analysis'!$A$22:$A$26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Analysis'!$B$22:$B$26</c:f>
              <c:numCache>
                <c:formatCode>_(* #,##0.00_);_(* \(#,##0.00\);_(* "-"??_);_(@_)</c:formatCode>
                <c:ptCount val="4"/>
                <c:pt idx="0">
                  <c:v>46702.12</c:v>
                </c:pt>
                <c:pt idx="1">
                  <c:v>30650.73</c:v>
                </c:pt>
                <c:pt idx="2">
                  <c:v>29532.299999999977</c:v>
                </c:pt>
                <c:pt idx="3">
                  <c:v>28614.679999999993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44A-9837-5F6D6E783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solidFill>
                  <a:sysClr val="windowText" lastClr="000000"/>
                </a:solidFill>
                <a:effectLst/>
              </a:rPr>
              <a:t>Orders by Status </a:t>
            </a:r>
            <a:endParaRPr lang="en-US" sz="15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DB2-4B97-A482-1BA6B21726B0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DB2-4B97-A482-1BA6B21726B0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B2-4B97-A482-1BA6B21726B0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DB2-4B97-A482-1BA6B21726B0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B2-4B97-A482-1BA6B21726B0}"/>
              </c:ext>
            </c:extLst>
          </c:dPt>
          <c:cat>
            <c:strRef>
              <c:f>'Pivot Analysis'!$A$41:$A$46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Analysis'!$B$41:$B$46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26</c:v>
                </c:pt>
                <c:pt idx="3">
                  <c:v>26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2-4B97-A482-1BA6B217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effectLst/>
              </a:rPr>
              <a:t>Monthly Revenue </a:t>
            </a:r>
            <a:endParaRPr lang="en-US" sz="15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148496235294783E-2"/>
              <c:y val="3.78952352559493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484623571825829E-2"/>
              <c:y val="3.7895235255949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1532129889822493E-2"/>
              <c:y val="-4.835262527667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013841745033681E-2"/>
              <c:y val="-7.139409993105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1532129889822493E-2"/>
                  <c:y val="-4.83526252766792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4B-4254-A7B1-3835C4427F4A}"/>
                </c:ext>
              </c:extLst>
            </c:dLbl>
            <c:dLbl>
              <c:idx val="1"/>
              <c:layout>
                <c:manualLayout>
                  <c:x val="-7.0013841745033681E-2"/>
                  <c:y val="-7.1394099931057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4B-4254-A7B1-3835C4427F4A}"/>
                </c:ext>
              </c:extLst>
            </c:dLbl>
            <c:dLbl>
              <c:idx val="11"/>
              <c:layout>
                <c:manualLayout>
                  <c:x val="-8.1484623571825829E-2"/>
                  <c:y val="3.78952352559492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4B-4254-A7B1-3835C4427F4A}"/>
                </c:ext>
              </c:extLst>
            </c:dLbl>
            <c:dLbl>
              <c:idx val="12"/>
              <c:layout>
                <c:manualLayout>
                  <c:x val="-4.1148496235294783E-2"/>
                  <c:y val="3.7895235255949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4B-4254-A7B1-3835C4427F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Analysis'!$A$88:$A$106</c:f>
              <c:multiLvlStrCache>
                <c:ptCount val="15"/>
                <c:lvl>
                  <c:pt idx="0">
                    <c:v>Jan</c:v>
                  </c:pt>
                  <c:pt idx="1">
                    <c:v>May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</c:lvl>
                <c:lvl>
                  <c:pt idx="0">
                    <c:v>2023</c:v>
                  </c:pt>
                  <c:pt idx="2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'Pivot Analysis'!$B$88:$B$106</c:f>
              <c:numCache>
                <c:formatCode>_(* #,##0.00_);_(* \(#,##0.00\);_(* "-"??_);_(@_)</c:formatCode>
                <c:ptCount val="15"/>
                <c:pt idx="0">
                  <c:v>705.78</c:v>
                </c:pt>
                <c:pt idx="1">
                  <c:v>1721.98</c:v>
                </c:pt>
                <c:pt idx="2">
                  <c:v>12400.05</c:v>
                </c:pt>
                <c:pt idx="3">
                  <c:v>8642.8599999999988</c:v>
                </c:pt>
                <c:pt idx="4">
                  <c:v>11851.42999999998</c:v>
                </c:pt>
                <c:pt idx="5">
                  <c:v>3901.5099999999998</c:v>
                </c:pt>
                <c:pt idx="6">
                  <c:v>8367.61</c:v>
                </c:pt>
                <c:pt idx="7">
                  <c:v>1200.28</c:v>
                </c:pt>
                <c:pt idx="8">
                  <c:v>13650.780000000002</c:v>
                </c:pt>
                <c:pt idx="9">
                  <c:v>20634.240000000002</c:v>
                </c:pt>
                <c:pt idx="10">
                  <c:v>16169.5</c:v>
                </c:pt>
                <c:pt idx="11">
                  <c:v>8401.6</c:v>
                </c:pt>
                <c:pt idx="12">
                  <c:v>8163.4299999999903</c:v>
                </c:pt>
                <c:pt idx="13">
                  <c:v>18305.400000000001</c:v>
                </c:pt>
                <c:pt idx="14">
                  <c:v>1383.38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B-4254-A7B1-3835C4427F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1251440"/>
        <c:axId val="1181253360"/>
      </c:lineChart>
      <c:catAx>
        <c:axId val="118125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53360"/>
        <c:crosses val="autoZero"/>
        <c:auto val="1"/>
        <c:lblAlgn val="ctr"/>
        <c:lblOffset val="100"/>
        <c:noMultiLvlLbl val="0"/>
      </c:catAx>
      <c:valAx>
        <c:axId val="118125336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8125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effectLst/>
              </a:rPr>
              <a:t>Top 10 Products </a:t>
            </a:r>
            <a:endParaRPr lang="en-US" sz="15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Analysis'!$B$58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Analysis'!$A$59:$A$79</c:f>
              <c:strCache>
                <c:ptCount val="20"/>
                <c:pt idx="0">
                  <c:v>Shoes</c:v>
                </c:pt>
                <c:pt idx="1">
                  <c:v>Comics</c:v>
                </c:pt>
                <c:pt idx="2">
                  <c:v>Lamp</c:v>
                </c:pt>
                <c:pt idx="3">
                  <c:v>Basketball</c:v>
                </c:pt>
                <c:pt idx="4">
                  <c:v>Biography</c:v>
                </c:pt>
                <c:pt idx="5">
                  <c:v>Science</c:v>
                </c:pt>
                <c:pt idx="6">
                  <c:v>Fiction</c:v>
                </c:pt>
                <c:pt idx="7">
                  <c:v>Microwave</c:v>
                </c:pt>
                <c:pt idx="8">
                  <c:v>Yoga Mat</c:v>
                </c:pt>
                <c:pt idx="9">
                  <c:v>Tennis Racket</c:v>
                </c:pt>
                <c:pt idx="10">
                  <c:v>Football</c:v>
                </c:pt>
                <c:pt idx="11">
                  <c:v>Smartphone</c:v>
                </c:pt>
                <c:pt idx="12">
                  <c:v>Jeans</c:v>
                </c:pt>
                <c:pt idx="13">
                  <c:v>Vacuum</c:v>
                </c:pt>
                <c:pt idx="14">
                  <c:v>Jacket</c:v>
                </c:pt>
                <c:pt idx="15">
                  <c:v>Smartwatch</c:v>
                </c:pt>
                <c:pt idx="16">
                  <c:v>Laptop</c:v>
                </c:pt>
                <c:pt idx="17">
                  <c:v>T-shirt</c:v>
                </c:pt>
                <c:pt idx="18">
                  <c:v>Headphones</c:v>
                </c:pt>
                <c:pt idx="19">
                  <c:v>Blender</c:v>
                </c:pt>
              </c:strCache>
            </c:strRef>
          </c:cat>
          <c:val>
            <c:numRef>
              <c:f>'Pivot Analysis'!$B$59:$B$79</c:f>
              <c:numCache>
                <c:formatCode>General</c:formatCode>
                <c:ptCount val="20"/>
                <c:pt idx="0">
                  <c:v>33</c:v>
                </c:pt>
                <c:pt idx="1">
                  <c:v>25</c:v>
                </c:pt>
                <c:pt idx="2">
                  <c:v>23</c:v>
                </c:pt>
                <c:pt idx="3">
                  <c:v>22</c:v>
                </c:pt>
                <c:pt idx="4">
                  <c:v>18</c:v>
                </c:pt>
                <c:pt idx="5">
                  <c:v>24</c:v>
                </c:pt>
                <c:pt idx="6">
                  <c:v>12</c:v>
                </c:pt>
                <c:pt idx="7">
                  <c:v>18</c:v>
                </c:pt>
                <c:pt idx="8">
                  <c:v>14</c:v>
                </c:pt>
                <c:pt idx="9">
                  <c:v>18</c:v>
                </c:pt>
                <c:pt idx="10">
                  <c:v>7</c:v>
                </c:pt>
                <c:pt idx="11">
                  <c:v>8</c:v>
                </c:pt>
                <c:pt idx="12">
                  <c:v>11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2</c:v>
                </c:pt>
                <c:pt idx="18">
                  <c:v>3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9-48A8-AAAB-74CAF197695F}"/>
            </c:ext>
          </c:extLst>
        </c:ser>
        <c:ser>
          <c:idx val="1"/>
          <c:order val="1"/>
          <c:tx>
            <c:strRef>
              <c:f>'Pivot Analysis'!$C$58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Analysis'!$A$59:$A$79</c:f>
              <c:strCache>
                <c:ptCount val="20"/>
                <c:pt idx="0">
                  <c:v>Shoes</c:v>
                </c:pt>
                <c:pt idx="1">
                  <c:v>Comics</c:v>
                </c:pt>
                <c:pt idx="2">
                  <c:v>Lamp</c:v>
                </c:pt>
                <c:pt idx="3">
                  <c:v>Basketball</c:v>
                </c:pt>
                <c:pt idx="4">
                  <c:v>Biography</c:v>
                </c:pt>
                <c:pt idx="5">
                  <c:v>Science</c:v>
                </c:pt>
                <c:pt idx="6">
                  <c:v>Fiction</c:v>
                </c:pt>
                <c:pt idx="7">
                  <c:v>Microwave</c:v>
                </c:pt>
                <c:pt idx="8">
                  <c:v>Yoga Mat</c:v>
                </c:pt>
                <c:pt idx="9">
                  <c:v>Tennis Racket</c:v>
                </c:pt>
                <c:pt idx="10">
                  <c:v>Football</c:v>
                </c:pt>
                <c:pt idx="11">
                  <c:v>Smartphone</c:v>
                </c:pt>
                <c:pt idx="12">
                  <c:v>Jeans</c:v>
                </c:pt>
                <c:pt idx="13">
                  <c:v>Vacuum</c:v>
                </c:pt>
                <c:pt idx="14">
                  <c:v>Jacket</c:v>
                </c:pt>
                <c:pt idx="15">
                  <c:v>Smartwatch</c:v>
                </c:pt>
                <c:pt idx="16">
                  <c:v>Laptop</c:v>
                </c:pt>
                <c:pt idx="17">
                  <c:v>T-shirt</c:v>
                </c:pt>
                <c:pt idx="18">
                  <c:v>Headphones</c:v>
                </c:pt>
                <c:pt idx="19">
                  <c:v>Blender</c:v>
                </c:pt>
              </c:strCache>
            </c:strRef>
          </c:cat>
          <c:val>
            <c:numRef>
              <c:f>'Pivot Analysis'!$C$59:$C$79</c:f>
              <c:numCache>
                <c:formatCode>_(* #,##0.00_);_(* \(#,##0.00\);_(* "-"??_);_(@_)</c:formatCode>
                <c:ptCount val="20"/>
                <c:pt idx="0">
                  <c:v>20646.719999999998</c:v>
                </c:pt>
                <c:pt idx="1">
                  <c:v>17420.39</c:v>
                </c:pt>
                <c:pt idx="2">
                  <c:v>14306.439999999991</c:v>
                </c:pt>
                <c:pt idx="3">
                  <c:v>11877.369999999999</c:v>
                </c:pt>
                <c:pt idx="4">
                  <c:v>9577.3899999999885</c:v>
                </c:pt>
                <c:pt idx="5">
                  <c:v>8005.71</c:v>
                </c:pt>
                <c:pt idx="6">
                  <c:v>7761.57</c:v>
                </c:pt>
                <c:pt idx="7">
                  <c:v>7026.91</c:v>
                </c:pt>
                <c:pt idx="8">
                  <c:v>6886.24999999999</c:v>
                </c:pt>
                <c:pt idx="9">
                  <c:v>6513.9500000000007</c:v>
                </c:pt>
                <c:pt idx="10">
                  <c:v>5707.1900000000005</c:v>
                </c:pt>
                <c:pt idx="11">
                  <c:v>5354.82</c:v>
                </c:pt>
                <c:pt idx="12">
                  <c:v>5189.6100000000006</c:v>
                </c:pt>
                <c:pt idx="13">
                  <c:v>5077.17</c:v>
                </c:pt>
                <c:pt idx="14">
                  <c:v>3485</c:v>
                </c:pt>
                <c:pt idx="15">
                  <c:v>3424.12</c:v>
                </c:pt>
                <c:pt idx="16">
                  <c:v>2993.5600000000004</c:v>
                </c:pt>
                <c:pt idx="17">
                  <c:v>2314.96000000001</c:v>
                </c:pt>
                <c:pt idx="18">
                  <c:v>919.43000000000006</c:v>
                </c:pt>
                <c:pt idx="19">
                  <c:v>-8988.7300000000105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9-48A8-AAAB-74CAF197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2274592"/>
        <c:axId val="1332275072"/>
        <c:axId val="0"/>
      </c:bar3DChart>
      <c:catAx>
        <c:axId val="133227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5072"/>
        <c:crosses val="autoZero"/>
        <c:auto val="1"/>
        <c:lblAlgn val="ctr"/>
        <c:lblOffset val="100"/>
        <c:noMultiLvlLbl val="0"/>
      </c:catAx>
      <c:valAx>
        <c:axId val="13322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[EcommerceOrders.xlsx]Pivot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1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500" i="1" u="sng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1" u="sng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'Pivot Analysis'!$B$4:$B$10</c:f>
              <c:numCache>
                <c:formatCode>_(* #,##0.00_);_(* \(#,##0.00\);_(* "-"??_);_(@_)</c:formatCode>
                <c:ptCount val="6"/>
                <c:pt idx="0">
                  <c:v>41048.859999999986</c:v>
                </c:pt>
                <c:pt idx="1">
                  <c:v>29078.130000000012</c:v>
                </c:pt>
                <c:pt idx="2">
                  <c:v>10891.98</c:v>
                </c:pt>
                <c:pt idx="3">
                  <c:v>16427.769999999979</c:v>
                </c:pt>
                <c:pt idx="4">
                  <c:v>29418.699999999997</c:v>
                </c:pt>
                <c:pt idx="5">
                  <c:v>8634.3900000000012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C-46DC-8D2E-BDE89D869D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22705439"/>
        <c:axId val="522703999"/>
      </c:barChart>
      <c:catAx>
        <c:axId val="522705439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03999"/>
        <c:crosses val="autoZero"/>
        <c:auto val="1"/>
        <c:lblAlgn val="ctr"/>
        <c:lblOffset val="100"/>
        <c:noMultiLvlLbl val="0"/>
      </c:catAx>
      <c:valAx>
        <c:axId val="52270399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5227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solidFill>
                  <a:sysClr val="windowText" lastClr="000000"/>
                </a:solidFill>
                <a:effectLst/>
              </a:rPr>
              <a:t>Revenue by Payment Method </a:t>
            </a:r>
            <a:endParaRPr lang="en-US" sz="15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10"/>
        <c:spPr>
          <a:solidFill>
            <a:schemeClr val="tx1">
              <a:lumMod val="65000"/>
              <a:lumOff val="35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prstClr val="black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effectLst>
              <a:innerShdw blurRad="114300">
                <a:prstClr val="black"/>
              </a:innerShdw>
            </a:effectLst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B88-453D-8193-28C70A05D3B7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B88-453D-8193-28C70A05D3B7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B88-453D-8193-28C70A05D3B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prstClr val="black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B88-453D-8193-28C70A05D3B7}"/>
              </c:ext>
            </c:extLst>
          </c:dPt>
          <c:cat>
            <c:strRef>
              <c:f>'Pivot Analysis'!$A$22:$A$26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Analysis'!$B$22:$B$26</c:f>
              <c:numCache>
                <c:formatCode>_(* #,##0.00_);_(* \(#,##0.00\);_(* "-"??_);_(@_)</c:formatCode>
                <c:ptCount val="4"/>
                <c:pt idx="0">
                  <c:v>46702.12</c:v>
                </c:pt>
                <c:pt idx="1">
                  <c:v>30650.73</c:v>
                </c:pt>
                <c:pt idx="2">
                  <c:v>29532.299999999977</c:v>
                </c:pt>
                <c:pt idx="3">
                  <c:v>28614.679999999993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88-453D-8193-28C70A05D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solidFill>
                  <a:sysClr val="windowText" lastClr="000000"/>
                </a:solidFill>
                <a:effectLst/>
              </a:rPr>
              <a:t>Orders by Status </a:t>
            </a:r>
            <a:endParaRPr lang="en-US" sz="15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57-418C-A5B9-2580CBE4C443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57-418C-A5B9-2580CBE4C443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57-418C-A5B9-2580CBE4C443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57-418C-A5B9-2580CBE4C443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57-418C-A5B9-2580CBE4C443}"/>
              </c:ext>
            </c:extLst>
          </c:dPt>
          <c:cat>
            <c:strRef>
              <c:f>'Pivot Analysis'!$A$41:$A$46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Analysis'!$B$41:$B$46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26</c:v>
                </c:pt>
                <c:pt idx="3">
                  <c:v>26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57-418C-A5B9-2580CBE4C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effectLst/>
              </a:rPr>
              <a:t>Monthly Revenue </a:t>
            </a:r>
            <a:endParaRPr lang="en-US" sz="15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148496235294783E-2"/>
              <c:y val="3.78952352559493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484623571825829E-2"/>
              <c:y val="3.7895235255949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1532129889822493E-2"/>
              <c:y val="-4.835262527667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013841745033681E-2"/>
              <c:y val="-7.139409993105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1532129889822493E-2"/>
              <c:y val="-4.835262527667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013841745033681E-2"/>
              <c:y val="-7.139409993105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484623571825829E-2"/>
              <c:y val="3.7895235255949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148496235294783E-2"/>
              <c:y val="3.78952352559493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Analysis'!$A$88:$A$106</c:f>
              <c:multiLvlStrCache>
                <c:ptCount val="15"/>
                <c:lvl>
                  <c:pt idx="0">
                    <c:v>Jan</c:v>
                  </c:pt>
                  <c:pt idx="1">
                    <c:v>May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</c:lvl>
                <c:lvl>
                  <c:pt idx="0">
                    <c:v>2023</c:v>
                  </c:pt>
                  <c:pt idx="2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'Pivot Analysis'!$B$88:$B$106</c:f>
              <c:numCache>
                <c:formatCode>_(* #,##0.00_);_(* \(#,##0.00\);_(* "-"??_);_(@_)</c:formatCode>
                <c:ptCount val="15"/>
                <c:pt idx="0">
                  <c:v>705.78</c:v>
                </c:pt>
                <c:pt idx="1">
                  <c:v>1721.98</c:v>
                </c:pt>
                <c:pt idx="2">
                  <c:v>12400.05</c:v>
                </c:pt>
                <c:pt idx="3">
                  <c:v>8642.8599999999988</c:v>
                </c:pt>
                <c:pt idx="4">
                  <c:v>11851.42999999998</c:v>
                </c:pt>
                <c:pt idx="5">
                  <c:v>3901.5099999999998</c:v>
                </c:pt>
                <c:pt idx="6">
                  <c:v>8367.61</c:v>
                </c:pt>
                <c:pt idx="7">
                  <c:v>1200.28</c:v>
                </c:pt>
                <c:pt idx="8">
                  <c:v>13650.780000000002</c:v>
                </c:pt>
                <c:pt idx="9">
                  <c:v>20634.240000000002</c:v>
                </c:pt>
                <c:pt idx="10">
                  <c:v>16169.5</c:v>
                </c:pt>
                <c:pt idx="11">
                  <c:v>8401.6</c:v>
                </c:pt>
                <c:pt idx="12">
                  <c:v>8163.4299999999903</c:v>
                </c:pt>
                <c:pt idx="13">
                  <c:v>18305.400000000001</c:v>
                </c:pt>
                <c:pt idx="14">
                  <c:v>1383.38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8B-4EE1-B7B5-C8CA208EE8C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251440"/>
        <c:axId val="1181253360"/>
      </c:lineChart>
      <c:catAx>
        <c:axId val="118125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53360"/>
        <c:crosses val="autoZero"/>
        <c:auto val="1"/>
        <c:lblAlgn val="ctr"/>
        <c:lblOffset val="100"/>
        <c:noMultiLvlLbl val="0"/>
      </c:catAx>
      <c:valAx>
        <c:axId val="118125336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8125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[EcommerceOrders.xlsx]Pivot Analysis!PivotTable5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 strike="noStrike" baseline="0">
                <a:effectLst/>
              </a:rPr>
              <a:t>Top 10 Products </a:t>
            </a:r>
            <a:endParaRPr lang="en-US" sz="15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Analysis'!$B$58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Analysis'!$A$59:$A$79</c:f>
              <c:strCache>
                <c:ptCount val="20"/>
                <c:pt idx="0">
                  <c:v>Shoes</c:v>
                </c:pt>
                <c:pt idx="1">
                  <c:v>Comics</c:v>
                </c:pt>
                <c:pt idx="2">
                  <c:v>Lamp</c:v>
                </c:pt>
                <c:pt idx="3">
                  <c:v>Basketball</c:v>
                </c:pt>
                <c:pt idx="4">
                  <c:v>Biography</c:v>
                </c:pt>
                <c:pt idx="5">
                  <c:v>Science</c:v>
                </c:pt>
                <c:pt idx="6">
                  <c:v>Fiction</c:v>
                </c:pt>
                <c:pt idx="7">
                  <c:v>Microwave</c:v>
                </c:pt>
                <c:pt idx="8">
                  <c:v>Yoga Mat</c:v>
                </c:pt>
                <c:pt idx="9">
                  <c:v>Tennis Racket</c:v>
                </c:pt>
                <c:pt idx="10">
                  <c:v>Football</c:v>
                </c:pt>
                <c:pt idx="11">
                  <c:v>Smartphone</c:v>
                </c:pt>
                <c:pt idx="12">
                  <c:v>Jeans</c:v>
                </c:pt>
                <c:pt idx="13">
                  <c:v>Vacuum</c:v>
                </c:pt>
                <c:pt idx="14">
                  <c:v>Jacket</c:v>
                </c:pt>
                <c:pt idx="15">
                  <c:v>Smartwatch</c:v>
                </c:pt>
                <c:pt idx="16">
                  <c:v>Laptop</c:v>
                </c:pt>
                <c:pt idx="17">
                  <c:v>T-shirt</c:v>
                </c:pt>
                <c:pt idx="18">
                  <c:v>Headphones</c:v>
                </c:pt>
                <c:pt idx="19">
                  <c:v>Blender</c:v>
                </c:pt>
              </c:strCache>
            </c:strRef>
          </c:cat>
          <c:val>
            <c:numRef>
              <c:f>'Pivot Analysis'!$B$59:$B$79</c:f>
              <c:numCache>
                <c:formatCode>General</c:formatCode>
                <c:ptCount val="20"/>
                <c:pt idx="0">
                  <c:v>33</c:v>
                </c:pt>
                <c:pt idx="1">
                  <c:v>25</c:v>
                </c:pt>
                <c:pt idx="2">
                  <c:v>23</c:v>
                </c:pt>
                <c:pt idx="3">
                  <c:v>22</c:v>
                </c:pt>
                <c:pt idx="4">
                  <c:v>18</c:v>
                </c:pt>
                <c:pt idx="5">
                  <c:v>24</c:v>
                </c:pt>
                <c:pt idx="6">
                  <c:v>12</c:v>
                </c:pt>
                <c:pt idx="7">
                  <c:v>18</c:v>
                </c:pt>
                <c:pt idx="8">
                  <c:v>14</c:v>
                </c:pt>
                <c:pt idx="9">
                  <c:v>18</c:v>
                </c:pt>
                <c:pt idx="10">
                  <c:v>7</c:v>
                </c:pt>
                <c:pt idx="11">
                  <c:v>8</c:v>
                </c:pt>
                <c:pt idx="12">
                  <c:v>11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2</c:v>
                </c:pt>
                <c:pt idx="18">
                  <c:v>3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1-4289-BD24-C1007E5A13AE}"/>
            </c:ext>
          </c:extLst>
        </c:ser>
        <c:ser>
          <c:idx val="1"/>
          <c:order val="1"/>
          <c:tx>
            <c:strRef>
              <c:f>'Pivot Analysis'!$C$58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Analysis'!$A$59:$A$79</c:f>
              <c:strCache>
                <c:ptCount val="20"/>
                <c:pt idx="0">
                  <c:v>Shoes</c:v>
                </c:pt>
                <c:pt idx="1">
                  <c:v>Comics</c:v>
                </c:pt>
                <c:pt idx="2">
                  <c:v>Lamp</c:v>
                </c:pt>
                <c:pt idx="3">
                  <c:v>Basketball</c:v>
                </c:pt>
                <c:pt idx="4">
                  <c:v>Biography</c:v>
                </c:pt>
                <c:pt idx="5">
                  <c:v>Science</c:v>
                </c:pt>
                <c:pt idx="6">
                  <c:v>Fiction</c:v>
                </c:pt>
                <c:pt idx="7">
                  <c:v>Microwave</c:v>
                </c:pt>
                <c:pt idx="8">
                  <c:v>Yoga Mat</c:v>
                </c:pt>
                <c:pt idx="9">
                  <c:v>Tennis Racket</c:v>
                </c:pt>
                <c:pt idx="10">
                  <c:v>Football</c:v>
                </c:pt>
                <c:pt idx="11">
                  <c:v>Smartphone</c:v>
                </c:pt>
                <c:pt idx="12">
                  <c:v>Jeans</c:v>
                </c:pt>
                <c:pt idx="13">
                  <c:v>Vacuum</c:v>
                </c:pt>
                <c:pt idx="14">
                  <c:v>Jacket</c:v>
                </c:pt>
                <c:pt idx="15">
                  <c:v>Smartwatch</c:v>
                </c:pt>
                <c:pt idx="16">
                  <c:v>Laptop</c:v>
                </c:pt>
                <c:pt idx="17">
                  <c:v>T-shirt</c:v>
                </c:pt>
                <c:pt idx="18">
                  <c:v>Headphones</c:v>
                </c:pt>
                <c:pt idx="19">
                  <c:v>Blender</c:v>
                </c:pt>
              </c:strCache>
            </c:strRef>
          </c:cat>
          <c:val>
            <c:numRef>
              <c:f>'Pivot Analysis'!$C$59:$C$79</c:f>
              <c:numCache>
                <c:formatCode>_(* #,##0.00_);_(* \(#,##0.00\);_(* "-"??_);_(@_)</c:formatCode>
                <c:ptCount val="20"/>
                <c:pt idx="0">
                  <c:v>20646.719999999998</c:v>
                </c:pt>
                <c:pt idx="1">
                  <c:v>17420.39</c:v>
                </c:pt>
                <c:pt idx="2">
                  <c:v>14306.439999999991</c:v>
                </c:pt>
                <c:pt idx="3">
                  <c:v>11877.369999999999</c:v>
                </c:pt>
                <c:pt idx="4">
                  <c:v>9577.3899999999885</c:v>
                </c:pt>
                <c:pt idx="5">
                  <c:v>8005.71</c:v>
                </c:pt>
                <c:pt idx="6">
                  <c:v>7761.57</c:v>
                </c:pt>
                <c:pt idx="7">
                  <c:v>7026.91</c:v>
                </c:pt>
                <c:pt idx="8">
                  <c:v>6886.24999999999</c:v>
                </c:pt>
                <c:pt idx="9">
                  <c:v>6513.9500000000007</c:v>
                </c:pt>
                <c:pt idx="10">
                  <c:v>5707.1900000000005</c:v>
                </c:pt>
                <c:pt idx="11">
                  <c:v>5354.82</c:v>
                </c:pt>
                <c:pt idx="12">
                  <c:v>5189.6100000000006</c:v>
                </c:pt>
                <c:pt idx="13">
                  <c:v>5077.17</c:v>
                </c:pt>
                <c:pt idx="14">
                  <c:v>3485</c:v>
                </c:pt>
                <c:pt idx="15">
                  <c:v>3424.12</c:v>
                </c:pt>
                <c:pt idx="16">
                  <c:v>2993.5600000000004</c:v>
                </c:pt>
                <c:pt idx="17">
                  <c:v>2314.96000000001</c:v>
                </c:pt>
                <c:pt idx="18">
                  <c:v>919.43000000000006</c:v>
                </c:pt>
                <c:pt idx="19">
                  <c:v>-8988.7300000000105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1-4289-BD24-C1007E5A1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2274592"/>
        <c:axId val="1332275072"/>
        <c:axId val="0"/>
      </c:bar3DChart>
      <c:catAx>
        <c:axId val="133227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5072"/>
        <c:crosses val="autoZero"/>
        <c:auto val="1"/>
        <c:lblAlgn val="ctr"/>
        <c:lblOffset val="100"/>
        <c:noMultiLvlLbl val="0"/>
      </c:catAx>
      <c:valAx>
        <c:axId val="13322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6350</xdr:rowOff>
    </xdr:from>
    <xdr:to>
      <xdr:col>8</xdr:col>
      <xdr:colOff>6350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2C396-D30A-4DE0-FFDD-2F940E48B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19</xdr:row>
      <xdr:rowOff>0</xdr:rowOff>
    </xdr:from>
    <xdr:to>
      <xdr:col>7</xdr:col>
      <xdr:colOff>1085850</xdr:colOff>
      <xdr:row>34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735B7-14F5-0088-3899-5CCEA53D1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22225</xdr:colOff>
      <xdr:row>38</xdr:row>
      <xdr:rowOff>12700</xdr:rowOff>
    </xdr:from>
    <xdr:to>
      <xdr:col>8</xdr:col>
      <xdr:colOff>25400</xdr:colOff>
      <xdr:row>52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8AACE6-61E8-98B2-7042-928AF05B9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9524</xdr:colOff>
      <xdr:row>85</xdr:row>
      <xdr:rowOff>19050</xdr:rowOff>
    </xdr:from>
    <xdr:to>
      <xdr:col>8</xdr:col>
      <xdr:colOff>0</xdr:colOff>
      <xdr:row>100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44EFB-47D3-9611-F9A3-60669E72E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263524</xdr:colOff>
      <xdr:row>56</xdr:row>
      <xdr:rowOff>12700</xdr:rowOff>
    </xdr:from>
    <xdr:to>
      <xdr:col>8</xdr:col>
      <xdr:colOff>247650</xdr:colOff>
      <xdr:row>70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DB1F0B-524B-C7C4-A8BC-7262C30CA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5</xdr:col>
      <xdr:colOff>1085850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6DEEF-F3B4-4D8B-B9A3-216007C78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8</xdr:row>
      <xdr:rowOff>6350</xdr:rowOff>
    </xdr:from>
    <xdr:to>
      <xdr:col>11</xdr:col>
      <xdr:colOff>69850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1CD3A-BA70-4D22-A719-254C8D8C7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24</xdr:row>
      <xdr:rowOff>0</xdr:rowOff>
    </xdr:from>
    <xdr:to>
      <xdr:col>5</xdr:col>
      <xdr:colOff>1104901</xdr:colOff>
      <xdr:row>38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1377B6-7B4C-4AC7-97F4-48253E2B4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254000</xdr:colOff>
      <xdr:row>23</xdr:row>
      <xdr:rowOff>177800</xdr:rowOff>
    </xdr:from>
    <xdr:to>
      <xdr:col>11</xdr:col>
      <xdr:colOff>82550</xdr:colOff>
      <xdr:row>38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A6A49-9A57-4AF5-B5BA-4537549D9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40</xdr:row>
      <xdr:rowOff>0</xdr:rowOff>
    </xdr:from>
    <xdr:to>
      <xdr:col>9</xdr:col>
      <xdr:colOff>155576</xdr:colOff>
      <xdr:row>54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EC7AAD-E0F3-404A-BD72-FA89A77EA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R Golecha" refreshedDate="46214.431427662035" createdVersion="8" refreshedVersion="8" minRefreshableVersion="3" recordCount="100" xr:uid="{7CFC71DB-316B-499B-B453-27BE131647D9}">
  <cacheSource type="worksheet">
    <worksheetSource name="Table1"/>
  </cacheSource>
  <cacheFields count="15">
    <cacheField name="ID" numFmtId="0">
      <sharedItems containsSemiMixedTypes="0" containsString="0" containsNumber="1" containsInteger="1" minValue="100" maxValue="199"/>
    </cacheField>
    <cacheField name="Customer_Name" numFmtId="0">
      <sharedItems/>
    </cacheField>
    <cacheField name="Order_ID" numFmtId="0">
      <sharedItems/>
    </cacheField>
    <cacheField name="Order_Date" numFmtId="0">
      <sharedItems containsDate="1" containsMixedTypes="1" minDate="2023-01-05T00:00:00" maxDate="2025-12-09T00:00:00"/>
    </cacheField>
    <cacheField name="Product" numFmtId="0">
      <sharedItems count="20">
        <s v="Blender"/>
        <s v="Smartphone"/>
        <s v="Tennis Racket"/>
        <s v="Science"/>
        <s v="Biography"/>
        <s v="Basketball"/>
        <s v="Comics"/>
        <s v="Shoes"/>
        <s v="Fiction"/>
        <s v="Microwave"/>
        <s v="Yoga Mat"/>
        <s v="Vacuum"/>
        <s v="Lamp"/>
        <s v="T-shirt"/>
        <s v="Smartwatch"/>
        <s v="Headphones"/>
        <s v="Football"/>
        <s v="Laptop"/>
        <s v="Jacket"/>
        <s v="Jeans"/>
      </sharedItems>
    </cacheField>
    <cacheField name="Category" numFmtId="0">
      <sharedItems count="7">
        <s v="Home"/>
        <s v="Electronics"/>
        <s v="Sports"/>
        <s v="Books"/>
        <s v="Clothing"/>
        <s v="Unknown"/>
        <s v="electronic" u="1"/>
      </sharedItems>
    </cacheField>
    <cacheField name="Quantity" numFmtId="0">
      <sharedItems containsSemiMixedTypes="0" containsString="0" containsNumber="1" containsInteger="1" minValue="-5" maxValue="5"/>
    </cacheField>
    <cacheField name="Price" numFmtId="0">
      <sharedItems containsSemiMixedTypes="0" containsString="0" containsNumber="1" minValue="-100" maxValue="10000"/>
    </cacheField>
    <cacheField name="Payment_Method" numFmtId="0">
      <sharedItems count="4">
        <s v="Cash on Delivery"/>
        <s v="PayPal"/>
        <s v="Bank Transfer"/>
        <s v="Credit Card"/>
      </sharedItems>
    </cacheField>
    <cacheField name="Status" numFmtId="0">
      <sharedItems count="5">
        <s v="Shipped"/>
        <s v="Processing"/>
        <s v="Delivered"/>
        <s v="Cancelled"/>
        <s v="Returned"/>
      </sharedItems>
    </cacheField>
    <cacheField name="Total" numFmtId="0">
      <sharedItems containsSemiMixedTypes="0" containsString="0" containsNumber="1" minValue="-20000" maxValue="4722.7"/>
    </cacheField>
    <cacheField name="Order Date1" numFmtId="14">
      <sharedItems containsSemiMixedTypes="0" containsNonDate="0" containsDate="1" containsString="0" minDate="2023-01-05T00:00:00" maxDate="2025-11-07T00:00:00" count="84">
        <d v="2024-11-22T00:00:00"/>
        <d v="2025-07-05T00:00:00"/>
        <d v="2024-12-23T00:00:00"/>
        <d v="2025-03-19T00:00:00"/>
        <d v="2025-10-20T00:00:00"/>
        <d v="2024-11-20T00:00:00"/>
        <d v="2025-02-02T00:00:00"/>
        <d v="2025-01-03T00:00:00"/>
        <d v="2025-10-23T00:00:00"/>
        <d v="2025-05-03T00:00:00"/>
        <d v="2025-09-26T00:00:00"/>
        <d v="2025-10-22T00:00:00"/>
        <d v="2025-03-02T00:00:00"/>
        <d v="2025-07-24T00:00:00"/>
        <d v="2025-01-10T00:00:00"/>
        <d v="2025-10-30T00:00:00"/>
        <d v="2025-02-12T00:00:00"/>
        <d v="2025-05-31T00:00:00"/>
        <d v="2024-12-19T00:00:00"/>
        <d v="2025-06-13T00:00:00"/>
        <d v="2025-10-11T00:00:00"/>
        <d v="2025-05-16T00:00:00"/>
        <d v="2025-10-06T00:00:00"/>
        <d v="2025-02-09T00:00:00"/>
        <d v="2025-05-18T00:00:00"/>
        <d v="2025-05-12T00:00:00"/>
        <d v="2024-11-10T00:00:00"/>
        <d v="2025-06-22T00:00:00"/>
        <d v="2025-08-15T00:00:00"/>
        <d v="2025-06-11T00:00:00"/>
        <d v="2025-04-02T00:00:00"/>
        <d v="2024-12-05T00:00:00"/>
        <d v="2025-10-04T00:00:00"/>
        <d v="2025-06-12T00:00:00"/>
        <d v="2025-02-23T00:00:00"/>
        <d v="2025-08-09T00:00:00"/>
        <d v="2025-02-26T00:00:00"/>
        <d v="2025-02-13T00:00:00"/>
        <d v="2025-07-11T00:00:00"/>
        <d v="2025-01-27T00:00:00"/>
        <d v="2023-05-01T00:00:00"/>
        <d v="2025-07-09T00:00:00"/>
        <d v="2025-05-01T00:00:00"/>
        <d v="2025-03-13T00:00:00"/>
        <d v="2025-06-29T00:00:00"/>
        <d v="2024-11-27T00:00:00"/>
        <d v="2025-07-01T00:00:00"/>
        <d v="2025-09-22T00:00:00"/>
        <d v="2025-07-16T00:00:00"/>
        <d v="2025-02-21T00:00:00"/>
        <d v="2024-11-28T00:00:00"/>
        <d v="2025-11-06T00:00:00"/>
        <d v="2025-04-05T00:00:00"/>
        <d v="2025-07-28T00:00:00"/>
        <d v="2024-12-15T00:00:00"/>
        <d v="2025-05-19T00:00:00"/>
        <d v="2023-01-05T00:00:00"/>
        <d v="2024-11-08T00:00:00"/>
        <d v="2025-07-03T00:00:00"/>
        <d v="2025-08-07T00:00:00"/>
        <d v="2025-11-04T00:00:00"/>
        <d v="2025-08-12T00:00:00"/>
        <d v="2025-10-03T00:00:00"/>
        <d v="2024-12-06T00:00:00"/>
        <d v="2024-11-18T00:00:00"/>
        <d v="2025-09-20T00:00:00"/>
        <d v="2025-02-24T00:00:00"/>
        <d v="2025-07-22T00:00:00"/>
        <d v="2025-09-18T00:00:00"/>
        <d v="2025-09-03T00:00:00"/>
        <d v="2025-03-26T00:00:00"/>
        <d v="2024-12-29T00:00:00"/>
        <d v="2025-08-03T00:00:00"/>
        <d v="2025-03-10T00:00:00"/>
        <d v="2025-02-15T00:00:00"/>
        <d v="2025-08-14T00:00:00"/>
        <d v="2024-11-19T00:00:00"/>
        <d v="2025-07-18T00:00:00"/>
        <d v="2025-06-06T00:00:00"/>
        <d v="2025-02-10T00:00:00"/>
        <d v="2025-06-19T00:00:00"/>
        <d v="2025-06-23T00:00:00"/>
        <d v="2025-07-27T00:00:00"/>
        <d v="2025-01-22T00:00:00"/>
      </sharedItems>
      <fieldGroup par="14"/>
    </cacheField>
    <cacheField name="Revenue" numFmtId="0">
      <sharedItems containsSemiMixedTypes="0" containsString="0" containsNumber="1" minValue="-20000" maxValue="4722.7"/>
    </cacheField>
    <cacheField name="Months (Order Date1)" numFmtId="0" databaseField="0">
      <fieldGroup base="11">
        <rangePr groupBy="months" startDate="2023-01-05T00:00:00" endDate="2025-11-07T00:00:00"/>
        <groupItems count="14">
          <s v="&lt;05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11-25"/>
        </groupItems>
      </fieldGroup>
    </cacheField>
    <cacheField name="Years (Order Date1)" numFmtId="0" databaseField="0">
      <fieldGroup base="11">
        <rangePr groupBy="years" startDate="2023-01-05T00:00:00" endDate="2025-11-07T00:00:00"/>
        <groupItems count="5">
          <s v="&lt;05-01-23"/>
          <s v="2023"/>
          <s v="2024"/>
          <s v="2025"/>
          <s v="&gt;07-1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"/>
    <s v="Customer_100"/>
    <s v="ORD-41285"/>
    <s v="11/22/2024"/>
    <x v="0"/>
    <x v="0"/>
    <n v="3"/>
    <n v="38"/>
    <x v="0"/>
    <x v="0"/>
    <n v="114"/>
    <x v="0"/>
    <n v="114"/>
  </r>
  <r>
    <n v="101"/>
    <s v="Customer_101"/>
    <s v="ORD-35783"/>
    <d v="2025-05-07T00:00:00"/>
    <x v="1"/>
    <x v="1"/>
    <n v="2"/>
    <n v="538.35"/>
    <x v="1"/>
    <x v="1"/>
    <n v="1076.7"/>
    <x v="1"/>
    <n v="1076.7"/>
  </r>
  <r>
    <n v="102"/>
    <s v="Customer_102"/>
    <s v="ORD-84355"/>
    <s v="12/23/2024"/>
    <x v="2"/>
    <x v="2"/>
    <n v="1"/>
    <n v="389.05"/>
    <x v="1"/>
    <x v="2"/>
    <n v="389.05"/>
    <x v="2"/>
    <n v="389.05"/>
  </r>
  <r>
    <n v="103"/>
    <s v="Customer_103"/>
    <s v="ORD-57811"/>
    <s v="3/19/2025"/>
    <x v="3"/>
    <x v="3"/>
    <n v="5"/>
    <n v="233.92"/>
    <x v="1"/>
    <x v="1"/>
    <n v="1169.5999999999999"/>
    <x v="3"/>
    <n v="1169.5999999999999"/>
  </r>
  <r>
    <n v="104"/>
    <s v="Customer_104"/>
    <s v="ORD-93614"/>
    <s v="10/20/2025"/>
    <x v="4"/>
    <x v="3"/>
    <n v="1"/>
    <n v="552.51"/>
    <x v="0"/>
    <x v="1"/>
    <n v="552.51"/>
    <x v="4"/>
    <n v="552.51"/>
  </r>
  <r>
    <n v="105"/>
    <s v="Customer_105"/>
    <s v="ORD-22442"/>
    <s v="11/20/2024"/>
    <x v="2"/>
    <x v="2"/>
    <n v="3"/>
    <n v="122.06"/>
    <x v="0"/>
    <x v="3"/>
    <n v="366.18"/>
    <x v="5"/>
    <n v="366.18"/>
  </r>
  <r>
    <n v="106"/>
    <s v="Customer_106"/>
    <s v="ORD-25885"/>
    <d v="2025-02-02T00:00:00"/>
    <x v="0"/>
    <x v="0"/>
    <n v="3"/>
    <n v="978.63"/>
    <x v="2"/>
    <x v="1"/>
    <n v="2935.89"/>
    <x v="6"/>
    <n v="2935.89"/>
  </r>
  <r>
    <n v="107"/>
    <s v="Customer_107"/>
    <s v="ORD-89122"/>
    <d v="2025-03-01T00:00:00"/>
    <x v="4"/>
    <x v="3"/>
    <n v="5"/>
    <n v="587.67999999999995"/>
    <x v="1"/>
    <x v="4"/>
    <n v="2938.3999999999901"/>
    <x v="7"/>
    <n v="2938.3999999999901"/>
  </r>
  <r>
    <n v="108"/>
    <s v="Customer_108"/>
    <s v="ORD-64400"/>
    <s v="10/23/2025"/>
    <x v="3"/>
    <x v="3"/>
    <n v="1"/>
    <n v="600.29"/>
    <x v="0"/>
    <x v="1"/>
    <n v="600.29"/>
    <x v="8"/>
    <n v="600.29"/>
  </r>
  <r>
    <n v="109"/>
    <s v="Customer_109"/>
    <s v="ORD-18512"/>
    <d v="2025-03-05T00:00:00"/>
    <x v="2"/>
    <x v="2"/>
    <n v="5"/>
    <n v="168.34"/>
    <x v="3"/>
    <x v="0"/>
    <n v="841.7"/>
    <x v="9"/>
    <n v="841.7"/>
  </r>
  <r>
    <n v="110"/>
    <s v="Customer_110"/>
    <s v="ORD-61020"/>
    <s v="9/26/2025"/>
    <x v="5"/>
    <x v="2"/>
    <n v="5"/>
    <n v="538.35"/>
    <x v="0"/>
    <x v="3"/>
    <n v="2691.75"/>
    <x v="10"/>
    <n v="2691.75"/>
  </r>
  <r>
    <n v="111"/>
    <s v="Customer_111"/>
    <s v="ORD-72349"/>
    <s v="10/22/2025"/>
    <x v="6"/>
    <x v="3"/>
    <n v="2"/>
    <n v="865.77"/>
    <x v="3"/>
    <x v="4"/>
    <n v="1731.54"/>
    <x v="11"/>
    <n v="1731.54"/>
  </r>
  <r>
    <n v="112"/>
    <s v="Customer_112"/>
    <s v="ORD-80867"/>
    <d v="2025-02-03T00:00:00"/>
    <x v="7"/>
    <x v="4"/>
    <n v="4"/>
    <n v="752.13"/>
    <x v="2"/>
    <x v="2"/>
    <n v="3008.52"/>
    <x v="12"/>
    <n v="3008.52"/>
  </r>
  <r>
    <n v="113"/>
    <s v="Customer_113"/>
    <s v="ORD-23994"/>
    <s v="7/24/2025"/>
    <x v="8"/>
    <x v="3"/>
    <n v="1"/>
    <n v="411.81"/>
    <x v="3"/>
    <x v="1"/>
    <n v="411.81"/>
    <x v="13"/>
    <n v="411.81"/>
  </r>
  <r>
    <n v="115"/>
    <s v="Customer_115"/>
    <s v="ORD-72778"/>
    <d v="2025-10-01T00:00:00"/>
    <x v="8"/>
    <x v="3"/>
    <n v="2"/>
    <n v="796.84"/>
    <x v="0"/>
    <x v="4"/>
    <n v="1593.68"/>
    <x v="14"/>
    <n v="1593.68"/>
  </r>
  <r>
    <n v="116"/>
    <s v="Customer_116"/>
    <s v="ORD-63660"/>
    <s v="10/30/2025"/>
    <x v="9"/>
    <x v="0"/>
    <n v="4"/>
    <n v="538.35"/>
    <x v="0"/>
    <x v="1"/>
    <n v="2153.4"/>
    <x v="15"/>
    <n v="2153.4"/>
  </r>
  <r>
    <n v="117"/>
    <s v="Customer_117"/>
    <s v="ORD-72751"/>
    <d v="2025-12-02T00:00:00"/>
    <x v="0"/>
    <x v="0"/>
    <n v="-2"/>
    <n v="10000"/>
    <x v="0"/>
    <x v="1"/>
    <n v="-20000"/>
    <x v="16"/>
    <n v="-20000"/>
  </r>
  <r>
    <n v="118"/>
    <s v="Customer_118"/>
    <s v="ORD-96061"/>
    <s v="5/31/2025"/>
    <x v="3"/>
    <x v="3"/>
    <n v="5"/>
    <n v="247.82"/>
    <x v="1"/>
    <x v="1"/>
    <n v="1239.0999999999999"/>
    <x v="17"/>
    <n v="1239.0999999999999"/>
  </r>
  <r>
    <n v="119"/>
    <s v="Customer_119"/>
    <s v="ORD-76016"/>
    <s v="12/19/2024"/>
    <x v="5"/>
    <x v="2"/>
    <n v="4"/>
    <n v="438.19"/>
    <x v="0"/>
    <x v="1"/>
    <n v="1752.76"/>
    <x v="18"/>
    <n v="1752.76"/>
  </r>
  <r>
    <n v="120"/>
    <s v="Customer_120"/>
    <s v="ORD-14659"/>
    <s v="6/13/2025"/>
    <x v="10"/>
    <x v="2"/>
    <n v="5"/>
    <n v="538.35"/>
    <x v="3"/>
    <x v="3"/>
    <n v="2691.75"/>
    <x v="19"/>
    <n v="2691.75"/>
  </r>
  <r>
    <n v="121"/>
    <s v="Customer_121"/>
    <s v="ORD-80067"/>
    <d v="2025-11-10T00:00:00"/>
    <x v="5"/>
    <x v="2"/>
    <n v="4"/>
    <n v="523.01"/>
    <x v="3"/>
    <x v="2"/>
    <n v="2092.04"/>
    <x v="20"/>
    <n v="2092.04"/>
  </r>
  <r>
    <n v="122"/>
    <s v="Customer_122"/>
    <s v="ORD-21443"/>
    <s v="5/16/2025"/>
    <x v="9"/>
    <x v="0"/>
    <n v="2"/>
    <n v="556.92999999999995"/>
    <x v="1"/>
    <x v="0"/>
    <n v="1113.8599999999999"/>
    <x v="21"/>
    <n v="1113.8599999999999"/>
  </r>
  <r>
    <n v="123"/>
    <s v="Customer_123"/>
    <s v="ORD-11314"/>
    <d v="2025-06-10T00:00:00"/>
    <x v="11"/>
    <x v="0"/>
    <n v="3"/>
    <n v="615.91"/>
    <x v="0"/>
    <x v="3"/>
    <n v="1847.73"/>
    <x v="22"/>
    <n v="1847.73"/>
  </r>
  <r>
    <n v="124"/>
    <s v="Customer_124"/>
    <s v="ORD-46136"/>
    <s v="5/31/2025"/>
    <x v="6"/>
    <x v="3"/>
    <n v="5"/>
    <n v="538.35"/>
    <x v="1"/>
    <x v="3"/>
    <n v="2691.75"/>
    <x v="17"/>
    <n v="2691.75"/>
  </r>
  <r>
    <n v="125"/>
    <s v="Customer_125"/>
    <s v="ORD-23202"/>
    <d v="2025-09-02T00:00:00"/>
    <x v="6"/>
    <x v="3"/>
    <n v="4"/>
    <n v="765.69"/>
    <x v="1"/>
    <x v="0"/>
    <n v="3062.76"/>
    <x v="23"/>
    <n v="3062.76"/>
  </r>
  <r>
    <n v="126"/>
    <s v="Customer_126"/>
    <s v="ORD-11261"/>
    <s v="5/18/2025"/>
    <x v="7"/>
    <x v="4"/>
    <n v="4"/>
    <n v="836.8"/>
    <x v="2"/>
    <x v="3"/>
    <n v="3347.2"/>
    <x v="24"/>
    <n v="3347.2"/>
  </r>
  <r>
    <n v="127"/>
    <s v="Customer_127"/>
    <s v="ORD-65482"/>
    <d v="2025-12-05T00:00:00"/>
    <x v="0"/>
    <x v="0"/>
    <n v="5"/>
    <n v="336.02"/>
    <x v="2"/>
    <x v="4"/>
    <n v="1680.1"/>
    <x v="25"/>
    <n v="1680.1"/>
  </r>
  <r>
    <n v="128"/>
    <s v="Customer_128"/>
    <s v="ORD-12270"/>
    <d v="2024-10-11T00:00:00"/>
    <x v="12"/>
    <x v="0"/>
    <n v="3"/>
    <n v="898.69"/>
    <x v="2"/>
    <x v="2"/>
    <n v="2696.07"/>
    <x v="26"/>
    <n v="2696.07"/>
  </r>
  <r>
    <n v="129"/>
    <s v="Customer_129"/>
    <s v="ORD-48863"/>
    <s v="6/22/2025"/>
    <x v="3"/>
    <x v="3"/>
    <n v="4"/>
    <n v="736.71"/>
    <x v="2"/>
    <x v="4"/>
    <n v="2946.84"/>
    <x v="27"/>
    <n v="2946.84"/>
  </r>
  <r>
    <n v="130"/>
    <s v="Customer_130"/>
    <s v="ORD-34007"/>
    <s v="8/15/2025"/>
    <x v="2"/>
    <x v="2"/>
    <n v="2"/>
    <n v="538.35"/>
    <x v="2"/>
    <x v="1"/>
    <n v="1076.7"/>
    <x v="28"/>
    <n v="1076.7"/>
  </r>
  <r>
    <n v="131"/>
    <s v="Customer_131"/>
    <s v="ORD-91396"/>
    <d v="2025-11-06T00:00:00"/>
    <x v="12"/>
    <x v="0"/>
    <n v="5"/>
    <n v="616.63"/>
    <x v="1"/>
    <x v="0"/>
    <n v="3083.15"/>
    <x v="29"/>
    <n v="3083.15"/>
  </r>
  <r>
    <n v="132"/>
    <s v="Customer_132"/>
    <s v="ORD-40186"/>
    <d v="2025-02-04T00:00:00"/>
    <x v="10"/>
    <x v="2"/>
    <n v="1"/>
    <n v="266.7"/>
    <x v="1"/>
    <x v="2"/>
    <n v="266.7"/>
    <x v="30"/>
    <n v="266.7"/>
  </r>
  <r>
    <n v="133"/>
    <s v="Customer_133"/>
    <s v="ORD-68182"/>
    <d v="2024-05-12T00:00:00"/>
    <x v="4"/>
    <x v="5"/>
    <n v="5"/>
    <n v="343.24"/>
    <x v="3"/>
    <x v="0"/>
    <n v="1716.2"/>
    <x v="31"/>
    <n v="1716.2"/>
  </r>
  <r>
    <n v="134"/>
    <s v="Customer_134"/>
    <s v="ORD-16585"/>
    <d v="2025-04-10T00:00:00"/>
    <x v="13"/>
    <x v="4"/>
    <n v="-5"/>
    <n v="591.53"/>
    <x v="1"/>
    <x v="0"/>
    <n v="-2957.6499999999901"/>
    <x v="32"/>
    <n v="-2957.6499999999901"/>
  </r>
  <r>
    <n v="135"/>
    <s v="Customer_135"/>
    <s v="ORD-33656"/>
    <d v="2025-09-02T00:00:00"/>
    <x v="14"/>
    <x v="1"/>
    <n v="4"/>
    <n v="446.19"/>
    <x v="0"/>
    <x v="3"/>
    <n v="1784.76"/>
    <x v="23"/>
    <n v="1784.76"/>
  </r>
  <r>
    <n v="136"/>
    <s v="Customer_136"/>
    <s v="ORD-20985"/>
    <d v="2025-12-06T00:00:00"/>
    <x v="15"/>
    <x v="5"/>
    <n v="1"/>
    <n v="696.71"/>
    <x v="3"/>
    <x v="2"/>
    <n v="696.71"/>
    <x v="33"/>
    <n v="696.71"/>
  </r>
  <r>
    <n v="137"/>
    <s v="Customer_137"/>
    <s v="ORD-91254"/>
    <s v="2/23/2025"/>
    <x v="11"/>
    <x v="0"/>
    <n v="3"/>
    <n v="-100"/>
    <x v="0"/>
    <x v="2"/>
    <n v="-300"/>
    <x v="34"/>
    <n v="-300"/>
  </r>
  <r>
    <n v="138"/>
    <s v="Customer_138"/>
    <s v="ORD-34319"/>
    <d v="2025-09-08T00:00:00"/>
    <x v="12"/>
    <x v="0"/>
    <n v="1"/>
    <n v="531.05999999999995"/>
    <x v="1"/>
    <x v="1"/>
    <n v="531.05999999999995"/>
    <x v="35"/>
    <n v="531.05999999999995"/>
  </r>
  <r>
    <n v="139"/>
    <s v="Customer_139"/>
    <s v="ORD-38418"/>
    <d v="2025-09-02T00:00:00"/>
    <x v="1"/>
    <x v="1"/>
    <n v="2"/>
    <n v="681.38"/>
    <x v="3"/>
    <x v="3"/>
    <n v="1362.76"/>
    <x v="23"/>
    <n v="1362.76"/>
  </r>
  <r>
    <n v="140"/>
    <s v="Customer_140"/>
    <s v="ORD-67096"/>
    <s v="2/26/2025"/>
    <x v="8"/>
    <x v="3"/>
    <n v="4"/>
    <n v="588.98"/>
    <x v="3"/>
    <x v="4"/>
    <n v="2355.92"/>
    <x v="36"/>
    <n v="2355.92"/>
  </r>
  <r>
    <n v="141"/>
    <s v="Customer_141"/>
    <s v="ORD-45059"/>
    <s v="2/13/2025"/>
    <x v="8"/>
    <x v="3"/>
    <n v="3"/>
    <n v="546.04"/>
    <x v="0"/>
    <x v="4"/>
    <n v="1638.12"/>
    <x v="37"/>
    <n v="1638.12"/>
  </r>
  <r>
    <n v="142"/>
    <s v="Customer_142"/>
    <s v="ORD-69018"/>
    <s v="10/30/2025"/>
    <x v="7"/>
    <x v="4"/>
    <n v="5"/>
    <n v="645.26"/>
    <x v="3"/>
    <x v="0"/>
    <n v="3226.3"/>
    <x v="15"/>
    <n v="3226.3"/>
  </r>
  <r>
    <n v="143"/>
    <s v="Customer_143"/>
    <s v="ORD-14329"/>
    <d v="2025-11-07T00:00:00"/>
    <x v="13"/>
    <x v="4"/>
    <n v="5"/>
    <n v="826.77"/>
    <x v="2"/>
    <x v="3"/>
    <n v="4133.8500000000004"/>
    <x v="38"/>
    <n v="4133.8500000000004"/>
  </r>
  <r>
    <n v="144"/>
    <s v="Customer_144"/>
    <s v="ORD-89452"/>
    <s v="1/27/2025"/>
    <x v="16"/>
    <x v="2"/>
    <n v="5"/>
    <n v="849.07"/>
    <x v="2"/>
    <x v="1"/>
    <n v="4245.3500000000004"/>
    <x v="39"/>
    <n v="4245.3500000000004"/>
  </r>
  <r>
    <n v="145"/>
    <s v="Customer_145"/>
    <s v="ORD-75314"/>
    <d v="2023-01-05T00:00:00"/>
    <x v="17"/>
    <x v="1"/>
    <n v="2"/>
    <n v="860.99"/>
    <x v="2"/>
    <x v="4"/>
    <n v="1721.98"/>
    <x v="40"/>
    <n v="1721.98"/>
  </r>
  <r>
    <n v="146"/>
    <s v="Customer_146"/>
    <s v="ORD-32755"/>
    <d v="2025-09-07T00:00:00"/>
    <x v="5"/>
    <x v="2"/>
    <n v="2"/>
    <n v="705.42"/>
    <x v="2"/>
    <x v="1"/>
    <n v="1410.84"/>
    <x v="41"/>
    <n v="1410.84"/>
  </r>
  <r>
    <n v="147"/>
    <s v="Customer_147"/>
    <s v="ORD-80707"/>
    <d v="2025-01-05T00:00:00"/>
    <x v="18"/>
    <x v="4"/>
    <n v="4"/>
    <n v="596.15"/>
    <x v="0"/>
    <x v="0"/>
    <n v="2384.6"/>
    <x v="42"/>
    <n v="2384.6"/>
  </r>
  <r>
    <n v="148"/>
    <s v="Customer_148"/>
    <s v="ORD-38423"/>
    <s v="3/13/2025"/>
    <x v="2"/>
    <x v="2"/>
    <n v="1"/>
    <n v="660.98"/>
    <x v="0"/>
    <x v="4"/>
    <n v="660.98"/>
    <x v="43"/>
    <n v="660.98"/>
  </r>
  <r>
    <n v="149"/>
    <s v="Customer_149"/>
    <s v="ORD-95911"/>
    <s v="6/29/2025"/>
    <x v="6"/>
    <x v="3"/>
    <n v="5"/>
    <n v="896.38"/>
    <x v="2"/>
    <x v="3"/>
    <n v="4481.8999999999996"/>
    <x v="44"/>
    <n v="4481.8999999999996"/>
  </r>
  <r>
    <n v="150"/>
    <s v="Customer_150"/>
    <s v="ORD-76902"/>
    <s v="11/27/2024"/>
    <x v="10"/>
    <x v="2"/>
    <n v="1"/>
    <n v="206.19"/>
    <x v="3"/>
    <x v="4"/>
    <n v="206.19"/>
    <x v="45"/>
    <n v="206.19"/>
  </r>
  <r>
    <n v="151"/>
    <s v="Customer_151"/>
    <s v="ORD-56552"/>
    <d v="2025-01-07T00:00:00"/>
    <x v="6"/>
    <x v="3"/>
    <n v="2"/>
    <n v="457.16"/>
    <x v="1"/>
    <x v="1"/>
    <n v="914.32"/>
    <x v="46"/>
    <n v="914.32"/>
  </r>
  <r>
    <n v="152"/>
    <s v="Customer_152"/>
    <s v="ORD-72869"/>
    <s v="9/22/2025"/>
    <x v="12"/>
    <x v="0"/>
    <n v="3"/>
    <n v="233.11"/>
    <x v="1"/>
    <x v="4"/>
    <n v="699.33"/>
    <x v="47"/>
    <n v="699.33"/>
  </r>
  <r>
    <n v="153"/>
    <s v="Customer_153"/>
    <s v="ORD-29721"/>
    <s v="7/16/2025"/>
    <x v="10"/>
    <x v="2"/>
    <n v="4"/>
    <n v="278.89999999999998"/>
    <x v="0"/>
    <x v="1"/>
    <n v="1115.5999999999999"/>
    <x v="48"/>
    <n v="1115.5999999999999"/>
  </r>
  <r>
    <n v="154"/>
    <s v="Customer_154"/>
    <s v="ORD-95990"/>
    <s v="2/21/2025"/>
    <x v="0"/>
    <x v="0"/>
    <n v="5"/>
    <n v="789.64"/>
    <x v="0"/>
    <x v="3"/>
    <n v="3948.2"/>
    <x v="49"/>
    <n v="3948.2"/>
  </r>
  <r>
    <n v="155"/>
    <s v="Customer_155"/>
    <s v="ORD-20182"/>
    <d v="2025-01-05T00:00:00"/>
    <x v="7"/>
    <x v="4"/>
    <n v="1"/>
    <n v="40.950000000000003"/>
    <x v="1"/>
    <x v="4"/>
    <n v="40.950000000000003"/>
    <x v="42"/>
    <n v="40.950000000000003"/>
  </r>
  <r>
    <n v="156"/>
    <s v="Customer_156"/>
    <s v="ORD-34679"/>
    <s v="11/28/2024"/>
    <x v="19"/>
    <x v="4"/>
    <n v="2"/>
    <n v="538.35"/>
    <x v="2"/>
    <x v="0"/>
    <n v="1076.7"/>
    <x v="50"/>
    <n v="1076.7"/>
  </r>
  <r>
    <n v="157"/>
    <s v="Customer_157"/>
    <s v="ORD-34407"/>
    <d v="2025-06-11T00:00:00"/>
    <x v="18"/>
    <x v="4"/>
    <n v="4"/>
    <n v="275.10000000000002"/>
    <x v="2"/>
    <x v="1"/>
    <n v="1100.4000000000001"/>
    <x v="51"/>
    <n v="1100.4000000000001"/>
  </r>
  <r>
    <n v="158"/>
    <s v="Customer_158"/>
    <s v="ORD-35817"/>
    <d v="2025-05-04T00:00:00"/>
    <x v="14"/>
    <x v="1"/>
    <n v="1"/>
    <n v="933.58"/>
    <x v="0"/>
    <x v="0"/>
    <n v="933.58"/>
    <x v="52"/>
    <n v="933.58"/>
  </r>
  <r>
    <n v="159"/>
    <s v="Customer_159"/>
    <s v="ORD-98162"/>
    <s v="7/28/2025"/>
    <x v="9"/>
    <x v="0"/>
    <n v="3"/>
    <n v="163.16"/>
    <x v="1"/>
    <x v="0"/>
    <n v="489.48"/>
    <x v="53"/>
    <n v="489.48"/>
  </r>
  <r>
    <n v="160"/>
    <s v="Customer_160"/>
    <s v="ORD-96037"/>
    <d v="2025-03-01T00:00:00"/>
    <x v="3"/>
    <x v="3"/>
    <n v="5"/>
    <n v="242.52"/>
    <x v="0"/>
    <x v="4"/>
    <n v="1212.5999999999999"/>
    <x v="7"/>
    <n v="1212.5999999999999"/>
  </r>
  <r>
    <n v="161"/>
    <s v="Customer_161"/>
    <s v="ORD-27653"/>
    <s v="12/15/2024"/>
    <x v="3"/>
    <x v="3"/>
    <n v="4"/>
    <n v="209.32"/>
    <x v="2"/>
    <x v="0"/>
    <n v="837.28"/>
    <x v="54"/>
    <n v="837.28"/>
  </r>
  <r>
    <n v="162"/>
    <s v="Customer_162"/>
    <s v="ORD-27743"/>
    <s v="5/19/2025"/>
    <x v="0"/>
    <x v="0"/>
    <n v="2"/>
    <n v="155.76"/>
    <x v="3"/>
    <x v="4"/>
    <n v="311.52"/>
    <x v="55"/>
    <n v="311.52"/>
  </r>
  <r>
    <n v="163"/>
    <s v="Customer_163"/>
    <s v="ORD-24378"/>
    <d v="2023-05-01T00:00:00"/>
    <x v="14"/>
    <x v="1"/>
    <n v="3"/>
    <n v="235.26"/>
    <x v="0"/>
    <x v="0"/>
    <n v="705.78"/>
    <x v="56"/>
    <n v="705.78"/>
  </r>
  <r>
    <n v="164"/>
    <s v="Customer_164"/>
    <s v="ORD-23010"/>
    <d v="2025-09-02T00:00:00"/>
    <x v="2"/>
    <x v="2"/>
    <n v="3"/>
    <n v="587.64"/>
    <x v="3"/>
    <x v="4"/>
    <n v="1762.92"/>
    <x v="23"/>
    <n v="1762.92"/>
  </r>
  <r>
    <n v="165"/>
    <s v="Customer_165"/>
    <s v="ORD-55695"/>
    <d v="2024-08-11T00:00:00"/>
    <x v="7"/>
    <x v="4"/>
    <n v="2"/>
    <n v="443.13"/>
    <x v="3"/>
    <x v="2"/>
    <n v="886.26"/>
    <x v="57"/>
    <n v="886.26"/>
  </r>
  <r>
    <n v="166"/>
    <s v="Customer_166"/>
    <s v="ORD-97756"/>
    <d v="2025-03-07T00:00:00"/>
    <x v="13"/>
    <x v="4"/>
    <n v="2"/>
    <n v="569.38"/>
    <x v="0"/>
    <x v="0"/>
    <n v="1138.76"/>
    <x v="58"/>
    <n v="1138.76"/>
  </r>
  <r>
    <n v="167"/>
    <s v="Customer_167"/>
    <s v="ORD-30329"/>
    <d v="2025-07-08T00:00:00"/>
    <x v="5"/>
    <x v="2"/>
    <n v="3"/>
    <n v="593.92999999999995"/>
    <x v="0"/>
    <x v="1"/>
    <n v="1781.79"/>
    <x v="59"/>
    <n v="1781.79"/>
  </r>
  <r>
    <n v="168"/>
    <s v="Customer_168"/>
    <s v="ORD-53430"/>
    <d v="2025-04-11T00:00:00"/>
    <x v="4"/>
    <x v="3"/>
    <n v="2"/>
    <n v="141.49"/>
    <x v="1"/>
    <x v="3"/>
    <n v="282.98"/>
    <x v="60"/>
    <n v="282.98"/>
  </r>
  <r>
    <n v="169"/>
    <s v="Customer_169"/>
    <s v="ORD-75539"/>
    <d v="2025-12-08T00:00:00"/>
    <x v="5"/>
    <x v="2"/>
    <n v="1"/>
    <n v="582.13"/>
    <x v="3"/>
    <x v="4"/>
    <n v="582.13"/>
    <x v="61"/>
    <n v="582.13"/>
  </r>
  <r>
    <n v="170"/>
    <s v="Customer_170"/>
    <s v="ORD-21530"/>
    <d v="2025-03-10T00:00:00"/>
    <x v="19"/>
    <x v="4"/>
    <n v="5"/>
    <n v="741.63"/>
    <x v="2"/>
    <x v="1"/>
    <n v="3708.15"/>
    <x v="62"/>
    <n v="3708.15"/>
  </r>
  <r>
    <n v="171"/>
    <s v="Customer_171"/>
    <s v="ORD-99790"/>
    <d v="2024-06-12T00:00:00"/>
    <x v="7"/>
    <x v="4"/>
    <n v="3"/>
    <n v="688.68"/>
    <x v="1"/>
    <x v="1"/>
    <n v="2066.04"/>
    <x v="63"/>
    <n v="2066.04"/>
  </r>
  <r>
    <n v="172"/>
    <s v="Customer_172"/>
    <s v="ORD-48008"/>
    <s v="11/18/2024"/>
    <x v="6"/>
    <x v="3"/>
    <n v="2"/>
    <n v="942.76"/>
    <x v="2"/>
    <x v="4"/>
    <n v="1885.52"/>
    <x v="64"/>
    <n v="1885.52"/>
  </r>
  <r>
    <n v="173"/>
    <s v="Customer_173"/>
    <s v="ORD-42171"/>
    <d v="2025-11-10T00:00:00"/>
    <x v="12"/>
    <x v="0"/>
    <n v="5"/>
    <n v="351.89"/>
    <x v="3"/>
    <x v="0"/>
    <n v="1759.44999999999"/>
    <x v="20"/>
    <n v="1759.44999999999"/>
  </r>
  <r>
    <n v="174"/>
    <s v="Customer_174"/>
    <s v="ORD-16766"/>
    <s v="9/20/2025"/>
    <x v="9"/>
    <x v="0"/>
    <n v="4"/>
    <n v="187.48"/>
    <x v="3"/>
    <x v="4"/>
    <n v="749.92"/>
    <x v="65"/>
    <n v="749.92"/>
  </r>
  <r>
    <n v="175"/>
    <s v="Customer_175"/>
    <s v="ORD-56651"/>
    <s v="2/24/2025"/>
    <x v="15"/>
    <x v="1"/>
    <n v="1"/>
    <n v="111.36"/>
    <x v="3"/>
    <x v="1"/>
    <n v="111.36"/>
    <x v="66"/>
    <n v="111.36"/>
  </r>
  <r>
    <n v="176"/>
    <s v="Customer_176"/>
    <s v="ORD-95794"/>
    <s v="7/22/2025"/>
    <x v="6"/>
    <x v="3"/>
    <n v="5"/>
    <n v="530.52"/>
    <x v="0"/>
    <x v="0"/>
    <n v="2652.6"/>
    <x v="67"/>
    <n v="2652.6"/>
  </r>
  <r>
    <n v="177"/>
    <s v="Customer_177"/>
    <s v="ORD-64136"/>
    <s v="7/28/2025"/>
    <x v="17"/>
    <x v="1"/>
    <n v="1"/>
    <n v="69.48"/>
    <x v="2"/>
    <x v="4"/>
    <n v="69.48"/>
    <x v="53"/>
    <n v="69.48"/>
  </r>
  <r>
    <n v="178"/>
    <s v="Customer_178"/>
    <s v="ORD-89906"/>
    <s v="9/18/2025"/>
    <x v="2"/>
    <x v="2"/>
    <n v="3"/>
    <n v="472.14"/>
    <x v="1"/>
    <x v="4"/>
    <n v="1416.42"/>
    <x v="68"/>
    <n v="1416.42"/>
  </r>
  <r>
    <n v="179"/>
    <s v="Customer_179"/>
    <s v="ORD-99328"/>
    <d v="2025-03-09T00:00:00"/>
    <x v="10"/>
    <x v="2"/>
    <n v="3"/>
    <n v="868.67"/>
    <x v="1"/>
    <x v="2"/>
    <n v="2606.0099999999902"/>
    <x v="69"/>
    <n v="2606.0099999999902"/>
  </r>
  <r>
    <n v="180"/>
    <s v="Customer_180"/>
    <s v="ORD-86629"/>
    <s v="3/26/2025"/>
    <x v="17"/>
    <x v="5"/>
    <n v="2"/>
    <n v="418.38"/>
    <x v="3"/>
    <x v="1"/>
    <n v="836.76"/>
    <x v="70"/>
    <n v="836.76"/>
  </r>
  <r>
    <n v="181"/>
    <s v="Customer_181"/>
    <s v="ORD-54481"/>
    <s v="12/29/2024"/>
    <x v="1"/>
    <x v="5"/>
    <n v="1"/>
    <n v="266.48"/>
    <x v="0"/>
    <x v="3"/>
    <n v="266.48"/>
    <x v="71"/>
    <n v="266.48"/>
  </r>
  <r>
    <n v="182"/>
    <s v="Customer_182"/>
    <s v="ORD-79672"/>
    <d v="2025-03-08T00:00:00"/>
    <x v="7"/>
    <x v="5"/>
    <n v="4"/>
    <n v="538.35"/>
    <x v="1"/>
    <x v="1"/>
    <n v="2153.4"/>
    <x v="72"/>
    <n v="2153.4"/>
  </r>
  <r>
    <n v="183"/>
    <s v="Customer_183"/>
    <s v="ORD-20916"/>
    <d v="2025-10-03T00:00:00"/>
    <x v="7"/>
    <x v="4"/>
    <n v="5"/>
    <n v="538.35"/>
    <x v="0"/>
    <x v="4"/>
    <n v="2691.75"/>
    <x v="73"/>
    <n v="2691.75"/>
  </r>
  <r>
    <n v="184"/>
    <s v="Customer_184"/>
    <s v="ORD-67799"/>
    <s v="2/15/2025"/>
    <x v="19"/>
    <x v="5"/>
    <n v="4"/>
    <n v="101.19"/>
    <x v="2"/>
    <x v="1"/>
    <n v="404.76"/>
    <x v="74"/>
    <n v="404.76"/>
  </r>
  <r>
    <n v="185"/>
    <s v="Customer_185"/>
    <s v="ORD-57123"/>
    <s v="8/14/2025"/>
    <x v="16"/>
    <x v="2"/>
    <n v="2"/>
    <n v="730.92"/>
    <x v="0"/>
    <x v="3"/>
    <n v="1461.84"/>
    <x v="75"/>
    <n v="1461.84"/>
  </r>
  <r>
    <n v="186"/>
    <s v="Customer_186"/>
    <s v="ORD-90569"/>
    <d v="2025-06-10T00:00:00"/>
    <x v="17"/>
    <x v="1"/>
    <n v="1"/>
    <n v="365.34"/>
    <x v="2"/>
    <x v="2"/>
    <n v="365.34"/>
    <x v="22"/>
    <n v="365.34"/>
  </r>
  <r>
    <n v="187"/>
    <s v="Customer_187"/>
    <s v="ORD-41292"/>
    <s v="11/19/2024"/>
    <x v="1"/>
    <x v="1"/>
    <n v="3"/>
    <n v="882.96"/>
    <x v="2"/>
    <x v="4"/>
    <n v="2648.88"/>
    <x v="76"/>
    <n v="2648.88"/>
  </r>
  <r>
    <n v="188"/>
    <s v="Customer_188"/>
    <s v="ORD-58590"/>
    <s v="11/19/2024"/>
    <x v="9"/>
    <x v="0"/>
    <n v="5"/>
    <n v="504.05"/>
    <x v="0"/>
    <x v="0"/>
    <n v="2520.25"/>
    <x v="76"/>
    <n v="2520.25"/>
  </r>
  <r>
    <n v="189"/>
    <s v="Customer_189"/>
    <s v="ORD-30627"/>
    <s v="8/14/2025"/>
    <x v="12"/>
    <x v="0"/>
    <n v="1"/>
    <n v="814.68"/>
    <x v="0"/>
    <x v="4"/>
    <n v="814.68"/>
    <x v="75"/>
    <n v="814.68"/>
  </r>
  <r>
    <n v="190"/>
    <s v="Customer_190"/>
    <s v="ORD-38469"/>
    <s v="6/29/2025"/>
    <x v="11"/>
    <x v="0"/>
    <n v="1"/>
    <n v="920.37"/>
    <x v="2"/>
    <x v="1"/>
    <n v="920.37"/>
    <x v="44"/>
    <n v="920.37"/>
  </r>
  <r>
    <n v="191"/>
    <s v="Customer_191"/>
    <s v="ORD-41810"/>
    <s v="7/18/2025"/>
    <x v="8"/>
    <x v="3"/>
    <n v="2"/>
    <n v="881.02"/>
    <x v="0"/>
    <x v="4"/>
    <n v="1762.04"/>
    <x v="77"/>
    <n v="1762.04"/>
  </r>
  <r>
    <n v="193"/>
    <s v="Customer_193"/>
    <s v="ORD-42475"/>
    <d v="2025-06-06T00:00:00"/>
    <x v="5"/>
    <x v="5"/>
    <n v="3"/>
    <n v="522.02"/>
    <x v="1"/>
    <x v="0"/>
    <n v="1566.06"/>
    <x v="78"/>
    <n v="1566.06"/>
  </r>
  <r>
    <n v="194"/>
    <s v="Customer_194"/>
    <s v="ORD-69764"/>
    <d v="2025-10-02T00:00:00"/>
    <x v="12"/>
    <x v="0"/>
    <n v="5"/>
    <n v="944.54"/>
    <x v="0"/>
    <x v="4"/>
    <n v="4722.7"/>
    <x v="79"/>
    <n v="4722.7"/>
  </r>
  <r>
    <n v="195"/>
    <s v="Customer_195"/>
    <s v="ORD-82876"/>
    <s v="6/19/2025"/>
    <x v="4"/>
    <x v="3"/>
    <n v="5"/>
    <n v="817.46"/>
    <x v="0"/>
    <x v="4"/>
    <n v="4087.3"/>
    <x v="80"/>
    <n v="4087.3"/>
  </r>
  <r>
    <n v="196"/>
    <s v="Customer_196"/>
    <s v="ORD-78384"/>
    <s v="12/23/2024"/>
    <x v="11"/>
    <x v="0"/>
    <n v="3"/>
    <n v="538.35"/>
    <x v="1"/>
    <x v="2"/>
    <n v="1615.05"/>
    <x v="2"/>
    <n v="1615.05"/>
  </r>
  <r>
    <n v="197"/>
    <s v="Customer_197"/>
    <s v="ORD-79139"/>
    <s v="6/23/2025"/>
    <x v="0"/>
    <x v="0"/>
    <n v="1"/>
    <n v="160.16"/>
    <x v="1"/>
    <x v="3"/>
    <n v="160.16"/>
    <x v="81"/>
    <n v="160.16"/>
  </r>
  <r>
    <n v="198"/>
    <s v="Customer_198"/>
    <s v="ORD-14608"/>
    <s v="7/27/2025"/>
    <x v="11"/>
    <x v="5"/>
    <n v="2"/>
    <n v="497.01"/>
    <x v="0"/>
    <x v="0"/>
    <n v="994.02"/>
    <x v="82"/>
    <n v="994.02"/>
  </r>
  <r>
    <n v="199"/>
    <s v="Customer_199"/>
    <s v="ORD-82922"/>
    <s v="1/22/2025"/>
    <x v="0"/>
    <x v="0"/>
    <n v="5"/>
    <n v="372.28"/>
    <x v="3"/>
    <x v="0"/>
    <n v="1861.3999999999901"/>
    <x v="83"/>
    <n v="1861.3999999999901"/>
  </r>
  <r>
    <n v="175"/>
    <s v="Customer_175"/>
    <s v="ORD-56651"/>
    <s v="2/24/2025"/>
    <x v="15"/>
    <x v="1"/>
    <n v="1"/>
    <n v="111.36"/>
    <x v="3"/>
    <x v="1"/>
    <n v="111.36"/>
    <x v="66"/>
    <n v="111.36"/>
  </r>
  <r>
    <n v="142"/>
    <s v="Customer_142"/>
    <s v="ORD-69018"/>
    <s v="10/30/2025"/>
    <x v="7"/>
    <x v="4"/>
    <n v="5"/>
    <n v="645.26"/>
    <x v="3"/>
    <x v="0"/>
    <n v="3226.3"/>
    <x v="15"/>
    <n v="3226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C0708-DD45-4904-8A9D-61DBC9E6B5F2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7:B106" firstHeaderRow="1" firstDataRow="1" firstDataCol="1"/>
  <pivotFields count="15">
    <pivotField showAll="0"/>
    <pivotField showAll="0"/>
    <pivotField showAll="0"/>
    <pivotField showAll="0"/>
    <pivotField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>
      <items count="85">
        <item x="56"/>
        <item x="40"/>
        <item x="57"/>
        <item x="26"/>
        <item x="64"/>
        <item x="76"/>
        <item x="5"/>
        <item x="0"/>
        <item x="45"/>
        <item x="50"/>
        <item x="31"/>
        <item x="63"/>
        <item x="54"/>
        <item x="18"/>
        <item x="2"/>
        <item x="71"/>
        <item x="7"/>
        <item x="14"/>
        <item x="83"/>
        <item x="39"/>
        <item x="6"/>
        <item x="23"/>
        <item x="79"/>
        <item x="16"/>
        <item x="37"/>
        <item x="74"/>
        <item x="49"/>
        <item x="34"/>
        <item x="66"/>
        <item x="36"/>
        <item x="12"/>
        <item x="73"/>
        <item x="43"/>
        <item x="3"/>
        <item x="70"/>
        <item x="30"/>
        <item x="52"/>
        <item x="42"/>
        <item x="9"/>
        <item x="25"/>
        <item x="21"/>
        <item x="24"/>
        <item x="55"/>
        <item x="17"/>
        <item x="78"/>
        <item x="29"/>
        <item x="33"/>
        <item x="19"/>
        <item x="80"/>
        <item x="27"/>
        <item x="81"/>
        <item x="44"/>
        <item x="46"/>
        <item x="58"/>
        <item x="1"/>
        <item x="41"/>
        <item x="38"/>
        <item x="48"/>
        <item x="77"/>
        <item x="67"/>
        <item x="13"/>
        <item x="82"/>
        <item x="53"/>
        <item x="72"/>
        <item x="59"/>
        <item x="35"/>
        <item x="61"/>
        <item x="75"/>
        <item x="28"/>
        <item x="69"/>
        <item x="68"/>
        <item x="65"/>
        <item x="47"/>
        <item x="10"/>
        <item x="62"/>
        <item x="32"/>
        <item x="22"/>
        <item x="20"/>
        <item x="4"/>
        <item x="11"/>
        <item x="8"/>
        <item x="15"/>
        <item x="60"/>
        <item x="51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3"/>
  </rowFields>
  <rowItems count="19">
    <i>
      <x v="1"/>
    </i>
    <i r="1">
      <x v="1"/>
    </i>
    <i r="1">
      <x v="5"/>
    </i>
    <i>
      <x v="2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" fld="10" baseField="0" baseItem="0" numFmtId="43"/>
  </dataFields>
  <formats count="6">
    <format dxfId="8">
      <pivotArea type="all" dataOnly="0" outline="0" fieldPosition="0"/>
    </format>
    <format dxfId="9">
      <pivotArea outline="0" collapsedLevelsAreSubtotals="1" fieldPosition="0"/>
    </format>
    <format dxfId="10">
      <pivotArea field="4" type="button" dataOnly="0" labelOnly="1" outline="0"/>
    </format>
    <format dxfId="11">
      <pivotArea dataOnly="0" labelOnly="1" grandRow="1" outline="0" fieldPosition="0"/>
    </format>
    <format dxfId="12">
      <pivotArea outline="0" collapsedLevelsAreSubtotals="1" fieldPosition="0"/>
    </format>
    <format dxfId="13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9"/>
          </reference>
          <reference field="14" count="1" selected="0">
            <x v="3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3" count="1" selected="0">
            <x v="8"/>
          </reference>
          <reference field="14" count="1" selected="0">
            <x v="3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4" count="1" selected="0">
            <x v="1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3" count="1" selected="0">
            <x v="8"/>
          </reference>
          <reference field="14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3" count="1" selected="0">
            <x v="9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4D925-C826-4BE0-B7A4-8C69FDFD79AB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0:B46" firstHeaderRow="1" firstDataRow="1" firstDataCol="1"/>
  <pivotFields count="15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numFmtId="14" showAll="0">
      <items count="85">
        <item x="56"/>
        <item x="40"/>
        <item x="57"/>
        <item x="26"/>
        <item x="64"/>
        <item x="76"/>
        <item x="5"/>
        <item x="0"/>
        <item x="45"/>
        <item x="50"/>
        <item x="31"/>
        <item x="63"/>
        <item x="54"/>
        <item x="18"/>
        <item x="2"/>
        <item x="71"/>
        <item x="7"/>
        <item x="14"/>
        <item x="83"/>
        <item x="39"/>
        <item x="6"/>
        <item x="23"/>
        <item x="79"/>
        <item x="16"/>
        <item x="37"/>
        <item x="74"/>
        <item x="49"/>
        <item x="34"/>
        <item x="66"/>
        <item x="36"/>
        <item x="12"/>
        <item x="73"/>
        <item x="43"/>
        <item x="3"/>
        <item x="70"/>
        <item x="30"/>
        <item x="52"/>
        <item x="42"/>
        <item x="9"/>
        <item x="25"/>
        <item x="21"/>
        <item x="24"/>
        <item x="55"/>
        <item x="17"/>
        <item x="78"/>
        <item x="29"/>
        <item x="33"/>
        <item x="19"/>
        <item x="80"/>
        <item x="27"/>
        <item x="81"/>
        <item x="44"/>
        <item x="46"/>
        <item x="58"/>
        <item x="1"/>
        <item x="41"/>
        <item x="38"/>
        <item x="48"/>
        <item x="77"/>
        <item x="67"/>
        <item x="13"/>
        <item x="82"/>
        <item x="53"/>
        <item x="72"/>
        <item x="59"/>
        <item x="35"/>
        <item x="61"/>
        <item x="75"/>
        <item x="28"/>
        <item x="69"/>
        <item x="68"/>
        <item x="65"/>
        <item x="47"/>
        <item x="10"/>
        <item x="62"/>
        <item x="32"/>
        <item x="22"/>
        <item x="20"/>
        <item x="4"/>
        <item x="11"/>
        <item x="8"/>
        <item x="15"/>
        <item x="60"/>
        <item x="5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2" subtotal="count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4C50F-CF64-4640-9F96-601828756758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1:B2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numFmtId="14" showAll="0">
      <items count="85">
        <item x="56"/>
        <item x="40"/>
        <item x="57"/>
        <item x="26"/>
        <item x="64"/>
        <item x="76"/>
        <item x="5"/>
        <item x="0"/>
        <item x="45"/>
        <item x="50"/>
        <item x="31"/>
        <item x="63"/>
        <item x="54"/>
        <item x="18"/>
        <item x="2"/>
        <item x="71"/>
        <item x="7"/>
        <item x="14"/>
        <item x="83"/>
        <item x="39"/>
        <item x="6"/>
        <item x="23"/>
        <item x="79"/>
        <item x="16"/>
        <item x="37"/>
        <item x="74"/>
        <item x="49"/>
        <item x="34"/>
        <item x="66"/>
        <item x="36"/>
        <item x="12"/>
        <item x="73"/>
        <item x="43"/>
        <item x="3"/>
        <item x="70"/>
        <item x="30"/>
        <item x="52"/>
        <item x="42"/>
        <item x="9"/>
        <item x="25"/>
        <item x="21"/>
        <item x="24"/>
        <item x="55"/>
        <item x="17"/>
        <item x="78"/>
        <item x="29"/>
        <item x="33"/>
        <item x="19"/>
        <item x="80"/>
        <item x="27"/>
        <item x="81"/>
        <item x="44"/>
        <item x="46"/>
        <item x="58"/>
        <item x="1"/>
        <item x="41"/>
        <item x="38"/>
        <item x="48"/>
        <item x="77"/>
        <item x="67"/>
        <item x="13"/>
        <item x="82"/>
        <item x="53"/>
        <item x="72"/>
        <item x="59"/>
        <item x="35"/>
        <item x="61"/>
        <item x="75"/>
        <item x="28"/>
        <item x="69"/>
        <item x="68"/>
        <item x="65"/>
        <item x="47"/>
        <item x="10"/>
        <item x="62"/>
        <item x="32"/>
        <item x="22"/>
        <item x="20"/>
        <item x="4"/>
        <item x="11"/>
        <item x="8"/>
        <item x="15"/>
        <item x="60"/>
        <item x="5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0" baseField="0" baseItem="0" numFmtId="43"/>
  </dataFields>
  <formats count="7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chartFormats count="1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A4076-3710-4F9F-9B37-E3FFA01DE49C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8">
        <item x="3"/>
        <item x="4"/>
        <item m="1" x="6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dataField="1" showAll="0"/>
    <pivotField numFmtId="14" showAll="0">
      <items count="85">
        <item x="56"/>
        <item x="40"/>
        <item x="57"/>
        <item x="26"/>
        <item x="64"/>
        <item x="76"/>
        <item x="5"/>
        <item x="0"/>
        <item x="45"/>
        <item x="50"/>
        <item x="31"/>
        <item x="63"/>
        <item x="54"/>
        <item x="18"/>
        <item x="2"/>
        <item x="71"/>
        <item x="7"/>
        <item x="14"/>
        <item x="83"/>
        <item x="39"/>
        <item x="6"/>
        <item x="23"/>
        <item x="79"/>
        <item x="16"/>
        <item x="37"/>
        <item x="74"/>
        <item x="49"/>
        <item x="34"/>
        <item x="66"/>
        <item x="36"/>
        <item x="12"/>
        <item x="73"/>
        <item x="43"/>
        <item x="3"/>
        <item x="70"/>
        <item x="30"/>
        <item x="52"/>
        <item x="42"/>
        <item x="9"/>
        <item x="25"/>
        <item x="21"/>
        <item x="24"/>
        <item x="55"/>
        <item x="17"/>
        <item x="78"/>
        <item x="29"/>
        <item x="33"/>
        <item x="19"/>
        <item x="80"/>
        <item x="27"/>
        <item x="81"/>
        <item x="44"/>
        <item x="46"/>
        <item x="58"/>
        <item x="1"/>
        <item x="41"/>
        <item x="38"/>
        <item x="48"/>
        <item x="77"/>
        <item x="67"/>
        <item x="13"/>
        <item x="82"/>
        <item x="53"/>
        <item x="72"/>
        <item x="59"/>
        <item x="35"/>
        <item x="61"/>
        <item x="75"/>
        <item x="28"/>
        <item x="69"/>
        <item x="68"/>
        <item x="65"/>
        <item x="47"/>
        <item x="10"/>
        <item x="62"/>
        <item x="32"/>
        <item x="22"/>
        <item x="20"/>
        <item x="4"/>
        <item x="11"/>
        <item x="8"/>
        <item x="15"/>
        <item x="60"/>
        <item x="5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10" baseField="0" baseItem="0" numFmtId="43"/>
  </dataFields>
  <formats count="7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84AC1-66B4-40B4-8040-4BFFE407ADB7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58:C79" firstHeaderRow="0" firstDataRow="1" firstDataCol="1"/>
  <pivotFields count="15">
    <pivotField showAll="0"/>
    <pivotField showAll="0"/>
    <pivotField showAll="0"/>
    <pivotField showAll="0"/>
    <pivotField axis="axisRow" showAll="0" sortType="descending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numFmtId="14" showAll="0">
      <items count="85">
        <item x="56"/>
        <item x="40"/>
        <item x="57"/>
        <item x="26"/>
        <item x="64"/>
        <item x="76"/>
        <item x="5"/>
        <item x="0"/>
        <item x="45"/>
        <item x="50"/>
        <item x="31"/>
        <item x="63"/>
        <item x="54"/>
        <item x="18"/>
        <item x="2"/>
        <item x="71"/>
        <item x="7"/>
        <item x="14"/>
        <item x="83"/>
        <item x="39"/>
        <item x="6"/>
        <item x="23"/>
        <item x="79"/>
        <item x="16"/>
        <item x="37"/>
        <item x="74"/>
        <item x="49"/>
        <item x="34"/>
        <item x="66"/>
        <item x="36"/>
        <item x="12"/>
        <item x="73"/>
        <item x="43"/>
        <item x="3"/>
        <item x="70"/>
        <item x="30"/>
        <item x="52"/>
        <item x="42"/>
        <item x="9"/>
        <item x="25"/>
        <item x="21"/>
        <item x="24"/>
        <item x="55"/>
        <item x="17"/>
        <item x="78"/>
        <item x="29"/>
        <item x="33"/>
        <item x="19"/>
        <item x="80"/>
        <item x="27"/>
        <item x="81"/>
        <item x="44"/>
        <item x="46"/>
        <item x="58"/>
        <item x="1"/>
        <item x="41"/>
        <item x="38"/>
        <item x="48"/>
        <item x="77"/>
        <item x="67"/>
        <item x="13"/>
        <item x="82"/>
        <item x="53"/>
        <item x="72"/>
        <item x="59"/>
        <item x="35"/>
        <item x="61"/>
        <item x="75"/>
        <item x="28"/>
        <item x="69"/>
        <item x="68"/>
        <item x="65"/>
        <item x="47"/>
        <item x="10"/>
        <item x="62"/>
        <item x="32"/>
        <item x="22"/>
        <item x="20"/>
        <item x="4"/>
        <item x="11"/>
        <item x="8"/>
        <item x="15"/>
        <item x="60"/>
        <item x="5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21">
    <i>
      <x v="13"/>
    </i>
    <i>
      <x v="3"/>
    </i>
    <i>
      <x v="9"/>
    </i>
    <i>
      <x/>
    </i>
    <i>
      <x v="1"/>
    </i>
    <i>
      <x v="12"/>
    </i>
    <i>
      <x v="4"/>
    </i>
    <i>
      <x v="11"/>
    </i>
    <i>
      <x v="19"/>
    </i>
    <i>
      <x v="16"/>
    </i>
    <i>
      <x v="5"/>
    </i>
    <i>
      <x v="14"/>
    </i>
    <i>
      <x v="8"/>
    </i>
    <i>
      <x v="18"/>
    </i>
    <i>
      <x v="7"/>
    </i>
    <i>
      <x v="15"/>
    </i>
    <i>
      <x v="10"/>
    </i>
    <i>
      <x v="17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10" baseField="0" baseItem="0" numFmtId="43"/>
  </dataFields>
  <formats count="7">
    <format dxfId="1">
      <pivotArea type="all" dataOnly="0" outline="0" fieldPosition="0"/>
    </format>
    <format dxfId="2">
      <pivotArea outline="0" collapsedLevelsAreSubtotals="1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A6A0E-B005-4B37-AFBB-93D686D3A8B0}" name="Table1" displayName="Table1" ref="A1:M101" totalsRowShown="0">
  <autoFilter ref="A1:M101" xr:uid="{79FA6A0E-B005-4B37-AFBB-93D686D3A8B0}"/>
  <tableColumns count="13">
    <tableColumn id="1" xr3:uid="{A47A2B4F-80DF-42A7-B4A2-C079B3846A34}" name="ID"/>
    <tableColumn id="2" xr3:uid="{5CBD8F0D-A3F0-4488-BC3A-8A0041E2103E}" name="Customer_Name"/>
    <tableColumn id="3" xr3:uid="{142C3936-EFD8-456C-A30A-C7F768234950}" name="Order_ID"/>
    <tableColumn id="4" xr3:uid="{3DCAD04F-31DA-4EAA-A0ED-B898F5596CE3}" name="Order_Date"/>
    <tableColumn id="5" xr3:uid="{D2AAE87B-5520-4C98-9349-2ED3DF06C4F9}" name="Product"/>
    <tableColumn id="6" xr3:uid="{563D0DAC-774F-4D8C-84AD-C4810CC3C35F}" name="Category"/>
    <tableColumn id="7" xr3:uid="{988BB3B1-CDAA-409B-9107-1500CCFBC008}" name="Quantity"/>
    <tableColumn id="8" xr3:uid="{50964930-C58E-49C4-B1CE-CC1BCFB19CD5}" name="Price"/>
    <tableColumn id="9" xr3:uid="{BF097739-2030-4A13-9C15-6019E94743E2}" name="Payment_Method"/>
    <tableColumn id="10" xr3:uid="{5786598B-ABC9-425D-9C04-0AD9594C61D9}" name="Status"/>
    <tableColumn id="11" xr3:uid="{C5E2F8C2-4BE6-44DF-9AD5-0297FF612FA3}" name="Total" dataDxfId="35"/>
    <tableColumn id="12" xr3:uid="{FDF4F42F-D5E6-4303-A774-85BF685E4AD3}" name="Order Date1" dataDxfId="34"/>
    <tableColumn id="13" xr3:uid="{960E38C3-2E65-4EEE-813F-BA676AA10CB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2A18-C050-40DF-9333-2512CEC712DF}">
  <dimension ref="A1:M101"/>
  <sheetViews>
    <sheetView tabSelected="1" workbookViewId="0"/>
  </sheetViews>
  <sheetFormatPr defaultRowHeight="14.5" x14ac:dyDescent="0.35"/>
  <cols>
    <col min="1" max="1" width="4.90625" bestFit="1" customWidth="1"/>
    <col min="2" max="2" width="17.08984375" bestFit="1" customWidth="1"/>
    <col min="3" max="3" width="10.36328125" bestFit="1" customWidth="1"/>
    <col min="4" max="4" width="12.453125" bestFit="1" customWidth="1"/>
    <col min="5" max="5" width="12.08984375" bestFit="1" customWidth="1"/>
    <col min="6" max="6" width="10.453125" bestFit="1" customWidth="1"/>
    <col min="7" max="7" width="10.26953125" bestFit="1" customWidth="1"/>
    <col min="8" max="8" width="7.36328125" bestFit="1" customWidth="1"/>
    <col min="9" max="9" width="17.6328125" bestFit="1" customWidth="1"/>
    <col min="10" max="10" width="9.7265625" bestFit="1" customWidth="1"/>
    <col min="11" max="11" width="9" bestFit="1" customWidth="1"/>
    <col min="12" max="12" width="13" bestFit="1" customWidth="1"/>
    <col min="13" max="13" width="10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>
        <v>38</v>
      </c>
      <c r="I2" t="s">
        <v>18</v>
      </c>
      <c r="J2" t="s">
        <v>19</v>
      </c>
      <c r="K2" s="2">
        <v>114</v>
      </c>
      <c r="L2" s="1">
        <v>45618</v>
      </c>
      <c r="M2">
        <v>114</v>
      </c>
    </row>
    <row r="3" spans="1:13" x14ac:dyDescent="0.35">
      <c r="A3">
        <v>101</v>
      </c>
      <c r="B3" t="s">
        <v>20</v>
      </c>
      <c r="C3" t="s">
        <v>21</v>
      </c>
      <c r="D3" s="1">
        <v>45784</v>
      </c>
      <c r="E3" t="s">
        <v>22</v>
      </c>
      <c r="F3" t="s">
        <v>23</v>
      </c>
      <c r="G3">
        <v>2</v>
      </c>
      <c r="H3">
        <v>538.35</v>
      </c>
      <c r="I3" t="s">
        <v>24</v>
      </c>
      <c r="J3" t="s">
        <v>25</v>
      </c>
      <c r="K3" s="2">
        <v>1076.7</v>
      </c>
      <c r="L3" s="1">
        <v>45843</v>
      </c>
      <c r="M3">
        <v>1076.7</v>
      </c>
    </row>
    <row r="4" spans="1:13" x14ac:dyDescent="0.35">
      <c r="A4">
        <v>102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</v>
      </c>
      <c r="H4">
        <v>389.05</v>
      </c>
      <c r="I4" t="s">
        <v>24</v>
      </c>
      <c r="J4" t="s">
        <v>31</v>
      </c>
      <c r="K4" s="2">
        <v>389.05</v>
      </c>
      <c r="L4" s="1">
        <v>45649</v>
      </c>
      <c r="M4">
        <v>389.05</v>
      </c>
    </row>
    <row r="5" spans="1:13" x14ac:dyDescent="0.35">
      <c r="A5">
        <v>103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5</v>
      </c>
      <c r="H5">
        <v>233.92</v>
      </c>
      <c r="I5" t="s">
        <v>24</v>
      </c>
      <c r="J5" t="s">
        <v>25</v>
      </c>
      <c r="K5" s="2">
        <v>1169.5999999999999</v>
      </c>
      <c r="L5" s="1">
        <v>45735</v>
      </c>
      <c r="M5">
        <v>1169.5999999999999</v>
      </c>
    </row>
    <row r="6" spans="1:13" x14ac:dyDescent="0.35">
      <c r="A6">
        <v>104</v>
      </c>
      <c r="B6" t="s">
        <v>37</v>
      </c>
      <c r="C6" t="s">
        <v>38</v>
      </c>
      <c r="D6" t="s">
        <v>39</v>
      </c>
      <c r="E6" t="s">
        <v>40</v>
      </c>
      <c r="F6" t="s">
        <v>36</v>
      </c>
      <c r="G6">
        <v>1</v>
      </c>
      <c r="H6">
        <v>552.51</v>
      </c>
      <c r="I6" t="s">
        <v>18</v>
      </c>
      <c r="J6" t="s">
        <v>25</v>
      </c>
      <c r="K6" s="2">
        <v>552.51</v>
      </c>
      <c r="L6" s="1">
        <v>45950</v>
      </c>
      <c r="M6">
        <v>552.51</v>
      </c>
    </row>
    <row r="7" spans="1:13" x14ac:dyDescent="0.35">
      <c r="A7">
        <v>105</v>
      </c>
      <c r="B7" t="s">
        <v>41</v>
      </c>
      <c r="C7" t="s">
        <v>42</v>
      </c>
      <c r="D7" t="s">
        <v>43</v>
      </c>
      <c r="E7" t="s">
        <v>29</v>
      </c>
      <c r="F7" t="s">
        <v>30</v>
      </c>
      <c r="G7">
        <v>3</v>
      </c>
      <c r="H7">
        <v>122.06</v>
      </c>
      <c r="I7" t="s">
        <v>18</v>
      </c>
      <c r="J7" t="s">
        <v>44</v>
      </c>
      <c r="K7" s="2">
        <v>366.18</v>
      </c>
      <c r="L7" s="1">
        <v>45616</v>
      </c>
      <c r="M7">
        <v>366.18</v>
      </c>
    </row>
    <row r="8" spans="1:13" x14ac:dyDescent="0.35">
      <c r="A8">
        <v>106</v>
      </c>
      <c r="B8" t="s">
        <v>45</v>
      </c>
      <c r="C8" t="s">
        <v>46</v>
      </c>
      <c r="D8" s="1">
        <v>45690</v>
      </c>
      <c r="E8" t="s">
        <v>16</v>
      </c>
      <c r="F8" t="s">
        <v>17</v>
      </c>
      <c r="G8">
        <v>3</v>
      </c>
      <c r="H8">
        <v>978.63</v>
      </c>
      <c r="I8" t="s">
        <v>47</v>
      </c>
      <c r="J8" t="s">
        <v>25</v>
      </c>
      <c r="K8" s="2">
        <v>2935.89</v>
      </c>
      <c r="L8" s="1">
        <v>45690</v>
      </c>
      <c r="M8">
        <v>2935.89</v>
      </c>
    </row>
    <row r="9" spans="1:13" x14ac:dyDescent="0.35">
      <c r="A9">
        <v>107</v>
      </c>
      <c r="B9" t="s">
        <v>48</v>
      </c>
      <c r="C9" t="s">
        <v>49</v>
      </c>
      <c r="D9" s="1">
        <v>45717</v>
      </c>
      <c r="E9" t="s">
        <v>40</v>
      </c>
      <c r="F9" t="s">
        <v>36</v>
      </c>
      <c r="G9">
        <v>5</v>
      </c>
      <c r="H9">
        <v>587.67999999999995</v>
      </c>
      <c r="I9" t="s">
        <v>24</v>
      </c>
      <c r="J9" t="s">
        <v>50</v>
      </c>
      <c r="K9">
        <v>2938.3999999999901</v>
      </c>
      <c r="L9" s="1">
        <v>45660</v>
      </c>
      <c r="M9" s="3">
        <v>2938.3999999999901</v>
      </c>
    </row>
    <row r="10" spans="1:13" x14ac:dyDescent="0.35">
      <c r="A10">
        <v>108</v>
      </c>
      <c r="B10" t="s">
        <v>51</v>
      </c>
      <c r="C10" t="s">
        <v>52</v>
      </c>
      <c r="D10" t="s">
        <v>53</v>
      </c>
      <c r="E10" t="s">
        <v>35</v>
      </c>
      <c r="F10" t="s">
        <v>36</v>
      </c>
      <c r="G10">
        <v>1</v>
      </c>
      <c r="H10">
        <v>600.29</v>
      </c>
      <c r="I10" t="s">
        <v>18</v>
      </c>
      <c r="J10" t="s">
        <v>25</v>
      </c>
      <c r="K10" s="2">
        <v>600.29</v>
      </c>
      <c r="L10" s="1">
        <v>45953</v>
      </c>
      <c r="M10">
        <v>600.29</v>
      </c>
    </row>
    <row r="11" spans="1:13" x14ac:dyDescent="0.35">
      <c r="A11">
        <v>109</v>
      </c>
      <c r="B11" t="s">
        <v>54</v>
      </c>
      <c r="C11" t="s">
        <v>55</v>
      </c>
      <c r="D11" s="1">
        <v>45721</v>
      </c>
      <c r="E11" t="s">
        <v>29</v>
      </c>
      <c r="F11" t="s">
        <v>30</v>
      </c>
      <c r="G11">
        <v>5</v>
      </c>
      <c r="H11">
        <v>168.34</v>
      </c>
      <c r="I11" t="s">
        <v>56</v>
      </c>
      <c r="J11" t="s">
        <v>19</v>
      </c>
      <c r="K11" s="2">
        <v>841.7</v>
      </c>
      <c r="L11" s="1">
        <v>45780</v>
      </c>
      <c r="M11">
        <v>841.7</v>
      </c>
    </row>
    <row r="12" spans="1:13" x14ac:dyDescent="0.35">
      <c r="A12">
        <v>110</v>
      </c>
      <c r="B12" t="s">
        <v>57</v>
      </c>
      <c r="C12" t="s">
        <v>58</v>
      </c>
      <c r="D12" t="s">
        <v>59</v>
      </c>
      <c r="E12" t="s">
        <v>60</v>
      </c>
      <c r="F12" t="s">
        <v>30</v>
      </c>
      <c r="G12">
        <v>5</v>
      </c>
      <c r="H12">
        <v>538.35</v>
      </c>
      <c r="I12" t="s">
        <v>18</v>
      </c>
      <c r="J12" t="s">
        <v>44</v>
      </c>
      <c r="K12" s="2">
        <v>2691.75</v>
      </c>
      <c r="L12" s="1">
        <v>45926</v>
      </c>
      <c r="M12">
        <v>2691.75</v>
      </c>
    </row>
    <row r="13" spans="1:13" x14ac:dyDescent="0.35">
      <c r="A13">
        <v>111</v>
      </c>
      <c r="B13" t="s">
        <v>61</v>
      </c>
      <c r="C13" t="s">
        <v>62</v>
      </c>
      <c r="D13" t="s">
        <v>63</v>
      </c>
      <c r="E13" t="s">
        <v>64</v>
      </c>
      <c r="F13" t="s">
        <v>36</v>
      </c>
      <c r="G13">
        <v>2</v>
      </c>
      <c r="H13">
        <v>865.77</v>
      </c>
      <c r="I13" t="s">
        <v>56</v>
      </c>
      <c r="J13" t="s">
        <v>50</v>
      </c>
      <c r="K13" s="2">
        <v>1731.54</v>
      </c>
      <c r="L13" s="1">
        <v>45952</v>
      </c>
      <c r="M13">
        <v>1731.54</v>
      </c>
    </row>
    <row r="14" spans="1:13" x14ac:dyDescent="0.35">
      <c r="A14">
        <v>112</v>
      </c>
      <c r="B14" t="s">
        <v>65</v>
      </c>
      <c r="C14" t="s">
        <v>66</v>
      </c>
      <c r="D14" s="1">
        <v>45691</v>
      </c>
      <c r="E14" t="s">
        <v>67</v>
      </c>
      <c r="F14" t="s">
        <v>68</v>
      </c>
      <c r="G14">
        <v>4</v>
      </c>
      <c r="H14">
        <v>752.13</v>
      </c>
      <c r="I14" t="s">
        <v>47</v>
      </c>
      <c r="J14" t="s">
        <v>31</v>
      </c>
      <c r="K14" s="2">
        <v>3008.52</v>
      </c>
      <c r="L14" s="1">
        <v>45718</v>
      </c>
      <c r="M14">
        <v>3008.52</v>
      </c>
    </row>
    <row r="15" spans="1:13" x14ac:dyDescent="0.35">
      <c r="A15">
        <v>113</v>
      </c>
      <c r="B15" t="s">
        <v>69</v>
      </c>
      <c r="C15" t="s">
        <v>70</v>
      </c>
      <c r="D15" t="s">
        <v>71</v>
      </c>
      <c r="E15" t="s">
        <v>72</v>
      </c>
      <c r="F15" t="s">
        <v>36</v>
      </c>
      <c r="G15">
        <v>1</v>
      </c>
      <c r="H15">
        <v>411.81</v>
      </c>
      <c r="I15" t="s">
        <v>56</v>
      </c>
      <c r="J15" t="s">
        <v>25</v>
      </c>
      <c r="K15" s="2">
        <v>411.81</v>
      </c>
      <c r="L15" s="1">
        <v>45862</v>
      </c>
      <c r="M15">
        <v>411.81</v>
      </c>
    </row>
    <row r="16" spans="1:13" x14ac:dyDescent="0.35">
      <c r="A16">
        <v>115</v>
      </c>
      <c r="B16" t="s">
        <v>73</v>
      </c>
      <c r="C16" t="s">
        <v>74</v>
      </c>
      <c r="D16" s="1">
        <v>45931</v>
      </c>
      <c r="E16" t="s">
        <v>72</v>
      </c>
      <c r="F16" t="s">
        <v>36</v>
      </c>
      <c r="G16">
        <v>2</v>
      </c>
      <c r="H16">
        <v>796.84</v>
      </c>
      <c r="I16" t="s">
        <v>18</v>
      </c>
      <c r="J16" t="s">
        <v>50</v>
      </c>
      <c r="K16" s="2">
        <v>1593.68</v>
      </c>
      <c r="L16" s="1">
        <v>45667</v>
      </c>
      <c r="M16">
        <v>1593.68</v>
      </c>
    </row>
    <row r="17" spans="1:13" x14ac:dyDescent="0.35">
      <c r="A17">
        <v>116</v>
      </c>
      <c r="B17" t="s">
        <v>75</v>
      </c>
      <c r="C17" t="s">
        <v>76</v>
      </c>
      <c r="D17" t="s">
        <v>77</v>
      </c>
      <c r="E17" t="s">
        <v>78</v>
      </c>
      <c r="F17" t="s">
        <v>17</v>
      </c>
      <c r="G17">
        <v>4</v>
      </c>
      <c r="H17">
        <v>538.35</v>
      </c>
      <c r="I17" t="s">
        <v>18</v>
      </c>
      <c r="J17" t="s">
        <v>25</v>
      </c>
      <c r="K17" s="2">
        <v>2153.4</v>
      </c>
      <c r="L17" s="1">
        <v>45960</v>
      </c>
      <c r="M17">
        <v>2153.4</v>
      </c>
    </row>
    <row r="18" spans="1:13" x14ac:dyDescent="0.35">
      <c r="A18">
        <v>117</v>
      </c>
      <c r="B18" t="s">
        <v>79</v>
      </c>
      <c r="C18" t="s">
        <v>80</v>
      </c>
      <c r="D18" s="1">
        <v>45993</v>
      </c>
      <c r="E18" t="s">
        <v>16</v>
      </c>
      <c r="F18" t="s">
        <v>17</v>
      </c>
      <c r="G18">
        <v>-2</v>
      </c>
      <c r="H18">
        <v>10000</v>
      </c>
      <c r="I18" t="s">
        <v>18</v>
      </c>
      <c r="J18" t="s">
        <v>25</v>
      </c>
      <c r="K18" s="2">
        <v>-20000</v>
      </c>
      <c r="L18" s="1">
        <v>45700</v>
      </c>
      <c r="M18">
        <v>-20000</v>
      </c>
    </row>
    <row r="19" spans="1:13" x14ac:dyDescent="0.35">
      <c r="A19">
        <v>118</v>
      </c>
      <c r="B19" t="s">
        <v>81</v>
      </c>
      <c r="C19" t="s">
        <v>82</v>
      </c>
      <c r="D19" t="s">
        <v>83</v>
      </c>
      <c r="E19" t="s">
        <v>35</v>
      </c>
      <c r="F19" t="s">
        <v>36</v>
      </c>
      <c r="G19">
        <v>5</v>
      </c>
      <c r="H19">
        <v>247.82</v>
      </c>
      <c r="I19" t="s">
        <v>24</v>
      </c>
      <c r="J19" t="s">
        <v>25</v>
      </c>
      <c r="K19" s="2">
        <v>1239.0999999999999</v>
      </c>
      <c r="L19" s="1">
        <v>45808</v>
      </c>
      <c r="M19">
        <v>1239.0999999999999</v>
      </c>
    </row>
    <row r="20" spans="1:13" x14ac:dyDescent="0.35">
      <c r="A20">
        <v>119</v>
      </c>
      <c r="B20" t="s">
        <v>84</v>
      </c>
      <c r="C20" t="s">
        <v>85</v>
      </c>
      <c r="D20" t="s">
        <v>86</v>
      </c>
      <c r="E20" t="s">
        <v>60</v>
      </c>
      <c r="F20" t="s">
        <v>30</v>
      </c>
      <c r="G20">
        <v>4</v>
      </c>
      <c r="H20">
        <v>438.19</v>
      </c>
      <c r="I20" t="s">
        <v>18</v>
      </c>
      <c r="J20" t="s">
        <v>25</v>
      </c>
      <c r="K20" s="2">
        <v>1752.76</v>
      </c>
      <c r="L20" s="1">
        <v>45645</v>
      </c>
      <c r="M20">
        <v>1752.76</v>
      </c>
    </row>
    <row r="21" spans="1:13" x14ac:dyDescent="0.35">
      <c r="A21">
        <v>120</v>
      </c>
      <c r="B21" t="s">
        <v>87</v>
      </c>
      <c r="C21" t="s">
        <v>88</v>
      </c>
      <c r="D21" t="s">
        <v>89</v>
      </c>
      <c r="E21" t="s">
        <v>90</v>
      </c>
      <c r="F21" t="s">
        <v>30</v>
      </c>
      <c r="G21">
        <v>5</v>
      </c>
      <c r="H21">
        <v>538.35</v>
      </c>
      <c r="I21" t="s">
        <v>56</v>
      </c>
      <c r="J21" t="s">
        <v>44</v>
      </c>
      <c r="K21" s="2">
        <v>2691.75</v>
      </c>
      <c r="L21" s="1">
        <v>45821</v>
      </c>
      <c r="M21">
        <v>2691.75</v>
      </c>
    </row>
    <row r="22" spans="1:13" x14ac:dyDescent="0.35">
      <c r="A22">
        <v>121</v>
      </c>
      <c r="B22" t="s">
        <v>91</v>
      </c>
      <c r="C22" t="s">
        <v>92</v>
      </c>
      <c r="D22" s="1">
        <v>45971</v>
      </c>
      <c r="E22" t="s">
        <v>60</v>
      </c>
      <c r="F22" t="s">
        <v>30</v>
      </c>
      <c r="G22">
        <v>4</v>
      </c>
      <c r="H22">
        <v>523.01</v>
      </c>
      <c r="I22" t="s">
        <v>56</v>
      </c>
      <c r="J22" t="s">
        <v>31</v>
      </c>
      <c r="K22" s="2">
        <v>2092.04</v>
      </c>
      <c r="L22" s="1">
        <v>45941</v>
      </c>
      <c r="M22">
        <v>2092.04</v>
      </c>
    </row>
    <row r="23" spans="1:13" x14ac:dyDescent="0.35">
      <c r="A23">
        <v>122</v>
      </c>
      <c r="B23" t="s">
        <v>93</v>
      </c>
      <c r="C23" t="s">
        <v>94</v>
      </c>
      <c r="D23" t="s">
        <v>95</v>
      </c>
      <c r="E23" t="s">
        <v>78</v>
      </c>
      <c r="F23" t="s">
        <v>17</v>
      </c>
      <c r="G23">
        <v>2</v>
      </c>
      <c r="H23">
        <v>556.92999999999995</v>
      </c>
      <c r="I23" t="s">
        <v>24</v>
      </c>
      <c r="J23" t="s">
        <v>19</v>
      </c>
      <c r="K23" s="2">
        <v>1113.8599999999999</v>
      </c>
      <c r="L23" s="1">
        <v>45793</v>
      </c>
      <c r="M23">
        <v>1113.8599999999999</v>
      </c>
    </row>
    <row r="24" spans="1:13" x14ac:dyDescent="0.35">
      <c r="A24">
        <v>123</v>
      </c>
      <c r="B24" t="s">
        <v>96</v>
      </c>
      <c r="C24" t="s">
        <v>97</v>
      </c>
      <c r="D24" s="1">
        <v>45818</v>
      </c>
      <c r="E24" t="s">
        <v>98</v>
      </c>
      <c r="F24" t="s">
        <v>17</v>
      </c>
      <c r="G24">
        <v>3</v>
      </c>
      <c r="H24">
        <v>615.91</v>
      </c>
      <c r="I24" t="s">
        <v>18</v>
      </c>
      <c r="J24" t="s">
        <v>44</v>
      </c>
      <c r="K24" s="2">
        <v>1847.73</v>
      </c>
      <c r="L24" s="1">
        <v>45936</v>
      </c>
      <c r="M24">
        <v>1847.73</v>
      </c>
    </row>
    <row r="25" spans="1:13" x14ac:dyDescent="0.35">
      <c r="A25">
        <v>124</v>
      </c>
      <c r="B25" t="s">
        <v>99</v>
      </c>
      <c r="C25" t="s">
        <v>100</v>
      </c>
      <c r="D25" t="s">
        <v>83</v>
      </c>
      <c r="E25" t="s">
        <v>64</v>
      </c>
      <c r="F25" t="s">
        <v>36</v>
      </c>
      <c r="G25">
        <v>5</v>
      </c>
      <c r="H25">
        <v>538.35</v>
      </c>
      <c r="I25" t="s">
        <v>24</v>
      </c>
      <c r="J25" t="s">
        <v>44</v>
      </c>
      <c r="K25" s="2">
        <v>2691.75</v>
      </c>
      <c r="L25" s="1">
        <v>45808</v>
      </c>
      <c r="M25">
        <v>2691.75</v>
      </c>
    </row>
    <row r="26" spans="1:13" x14ac:dyDescent="0.35">
      <c r="A26">
        <v>125</v>
      </c>
      <c r="B26" t="s">
        <v>101</v>
      </c>
      <c r="C26" t="s">
        <v>102</v>
      </c>
      <c r="D26" s="1">
        <v>45902</v>
      </c>
      <c r="E26" t="s">
        <v>64</v>
      </c>
      <c r="F26" t="s">
        <v>36</v>
      </c>
      <c r="G26">
        <v>4</v>
      </c>
      <c r="H26">
        <v>765.69</v>
      </c>
      <c r="I26" t="s">
        <v>24</v>
      </c>
      <c r="J26" t="s">
        <v>19</v>
      </c>
      <c r="K26" s="2">
        <v>3062.76</v>
      </c>
      <c r="L26" s="1">
        <v>45697</v>
      </c>
      <c r="M26">
        <v>3062.76</v>
      </c>
    </row>
    <row r="27" spans="1:13" x14ac:dyDescent="0.35">
      <c r="A27">
        <v>126</v>
      </c>
      <c r="B27" t="s">
        <v>103</v>
      </c>
      <c r="C27" t="s">
        <v>104</v>
      </c>
      <c r="D27" t="s">
        <v>105</v>
      </c>
      <c r="E27" t="s">
        <v>67</v>
      </c>
      <c r="F27" t="s">
        <v>68</v>
      </c>
      <c r="G27">
        <v>4</v>
      </c>
      <c r="H27">
        <v>836.8</v>
      </c>
      <c r="I27" t="s">
        <v>47</v>
      </c>
      <c r="J27" t="s">
        <v>44</v>
      </c>
      <c r="K27" s="2">
        <v>3347.2</v>
      </c>
      <c r="L27" s="1">
        <v>45795</v>
      </c>
      <c r="M27">
        <v>3347.2</v>
      </c>
    </row>
    <row r="28" spans="1:13" x14ac:dyDescent="0.35">
      <c r="A28">
        <v>127</v>
      </c>
      <c r="B28" t="s">
        <v>106</v>
      </c>
      <c r="C28" t="s">
        <v>107</v>
      </c>
      <c r="D28" s="1">
        <v>45996</v>
      </c>
      <c r="E28" t="s">
        <v>16</v>
      </c>
      <c r="F28" t="s">
        <v>17</v>
      </c>
      <c r="G28">
        <v>5</v>
      </c>
      <c r="H28">
        <v>336.02</v>
      </c>
      <c r="I28" t="s">
        <v>47</v>
      </c>
      <c r="J28" t="s">
        <v>50</v>
      </c>
      <c r="K28" s="2">
        <v>1680.1</v>
      </c>
      <c r="L28" s="1">
        <v>45789</v>
      </c>
      <c r="M28">
        <v>1680.1</v>
      </c>
    </row>
    <row r="29" spans="1:13" x14ac:dyDescent="0.35">
      <c r="A29">
        <v>128</v>
      </c>
      <c r="B29" t="s">
        <v>108</v>
      </c>
      <c r="C29" t="s">
        <v>109</v>
      </c>
      <c r="D29" s="1">
        <v>45576</v>
      </c>
      <c r="E29" t="s">
        <v>110</v>
      </c>
      <c r="F29" t="s">
        <v>17</v>
      </c>
      <c r="G29">
        <v>3</v>
      </c>
      <c r="H29">
        <v>898.69</v>
      </c>
      <c r="I29" t="s">
        <v>47</v>
      </c>
      <c r="J29" t="s">
        <v>31</v>
      </c>
      <c r="K29" s="2">
        <v>2696.07</v>
      </c>
      <c r="L29" s="1">
        <v>45606</v>
      </c>
      <c r="M29">
        <v>2696.07</v>
      </c>
    </row>
    <row r="30" spans="1:13" x14ac:dyDescent="0.35">
      <c r="A30">
        <v>129</v>
      </c>
      <c r="B30" t="s">
        <v>111</v>
      </c>
      <c r="C30" t="s">
        <v>112</v>
      </c>
      <c r="D30" t="s">
        <v>113</v>
      </c>
      <c r="E30" t="s">
        <v>35</v>
      </c>
      <c r="F30" t="s">
        <v>36</v>
      </c>
      <c r="G30">
        <v>4</v>
      </c>
      <c r="H30">
        <v>736.71</v>
      </c>
      <c r="I30" t="s">
        <v>47</v>
      </c>
      <c r="J30" t="s">
        <v>50</v>
      </c>
      <c r="K30" s="2">
        <v>2946.84</v>
      </c>
      <c r="L30" s="1">
        <v>45830</v>
      </c>
      <c r="M30">
        <v>2946.84</v>
      </c>
    </row>
    <row r="31" spans="1:13" x14ac:dyDescent="0.35">
      <c r="A31">
        <v>130</v>
      </c>
      <c r="B31" t="s">
        <v>114</v>
      </c>
      <c r="C31" t="s">
        <v>115</v>
      </c>
      <c r="D31" t="s">
        <v>116</v>
      </c>
      <c r="E31" t="s">
        <v>29</v>
      </c>
      <c r="F31" t="s">
        <v>30</v>
      </c>
      <c r="G31">
        <v>2</v>
      </c>
      <c r="H31">
        <v>538.35</v>
      </c>
      <c r="I31" t="s">
        <v>47</v>
      </c>
      <c r="J31" t="s">
        <v>25</v>
      </c>
      <c r="K31" s="2">
        <v>1076.7</v>
      </c>
      <c r="L31" s="1">
        <v>45884</v>
      </c>
      <c r="M31">
        <v>1076.7</v>
      </c>
    </row>
    <row r="32" spans="1:13" x14ac:dyDescent="0.35">
      <c r="A32">
        <v>131</v>
      </c>
      <c r="B32" t="s">
        <v>117</v>
      </c>
      <c r="C32" t="s">
        <v>118</v>
      </c>
      <c r="D32" s="1">
        <v>45967</v>
      </c>
      <c r="E32" t="s">
        <v>110</v>
      </c>
      <c r="F32" t="s">
        <v>17</v>
      </c>
      <c r="G32">
        <v>5</v>
      </c>
      <c r="H32">
        <v>616.63</v>
      </c>
      <c r="I32" t="s">
        <v>24</v>
      </c>
      <c r="J32" t="s">
        <v>19</v>
      </c>
      <c r="K32" s="2">
        <v>3083.15</v>
      </c>
      <c r="L32" s="1">
        <v>45819</v>
      </c>
      <c r="M32">
        <v>3083.15</v>
      </c>
    </row>
    <row r="33" spans="1:13" x14ac:dyDescent="0.35">
      <c r="A33">
        <v>132</v>
      </c>
      <c r="B33" t="s">
        <v>119</v>
      </c>
      <c r="C33" t="s">
        <v>120</v>
      </c>
      <c r="D33" s="1">
        <v>45692</v>
      </c>
      <c r="E33" t="s">
        <v>90</v>
      </c>
      <c r="F33" t="s">
        <v>30</v>
      </c>
      <c r="G33">
        <v>1</v>
      </c>
      <c r="H33">
        <v>266.7</v>
      </c>
      <c r="I33" t="s">
        <v>24</v>
      </c>
      <c r="J33" t="s">
        <v>31</v>
      </c>
      <c r="K33" s="2">
        <v>266.7</v>
      </c>
      <c r="L33" s="1">
        <v>45749</v>
      </c>
      <c r="M33">
        <v>266.7</v>
      </c>
    </row>
    <row r="34" spans="1:13" x14ac:dyDescent="0.35">
      <c r="A34">
        <v>133</v>
      </c>
      <c r="B34" t="s">
        <v>121</v>
      </c>
      <c r="C34" t="s">
        <v>122</v>
      </c>
      <c r="D34" s="1">
        <v>45424</v>
      </c>
      <c r="E34" t="s">
        <v>40</v>
      </c>
      <c r="F34" t="s">
        <v>123</v>
      </c>
      <c r="G34">
        <v>5</v>
      </c>
      <c r="H34">
        <v>343.24</v>
      </c>
      <c r="I34" t="s">
        <v>56</v>
      </c>
      <c r="J34" t="s">
        <v>19</v>
      </c>
      <c r="K34" s="2">
        <v>1716.2</v>
      </c>
      <c r="L34" s="1">
        <v>45631</v>
      </c>
      <c r="M34">
        <v>1716.2</v>
      </c>
    </row>
    <row r="35" spans="1:13" x14ac:dyDescent="0.35">
      <c r="A35">
        <v>134</v>
      </c>
      <c r="B35" t="s">
        <v>124</v>
      </c>
      <c r="C35" t="s">
        <v>125</v>
      </c>
      <c r="D35" s="1">
        <v>45757</v>
      </c>
      <c r="E35" t="s">
        <v>126</v>
      </c>
      <c r="F35" t="s">
        <v>68</v>
      </c>
      <c r="G35">
        <v>-5</v>
      </c>
      <c r="H35">
        <v>591.53</v>
      </c>
      <c r="I35" t="s">
        <v>24</v>
      </c>
      <c r="J35" t="s">
        <v>19</v>
      </c>
      <c r="K35" s="2">
        <v>-2957.6499999999901</v>
      </c>
      <c r="L35" s="1">
        <v>45934</v>
      </c>
      <c r="M35">
        <v>-2957.6499999999901</v>
      </c>
    </row>
    <row r="36" spans="1:13" x14ac:dyDescent="0.35">
      <c r="A36">
        <v>135</v>
      </c>
      <c r="B36" t="s">
        <v>127</v>
      </c>
      <c r="C36" t="s">
        <v>128</v>
      </c>
      <c r="D36" s="1">
        <v>45902</v>
      </c>
      <c r="E36" t="s">
        <v>129</v>
      </c>
      <c r="F36" t="s">
        <v>23</v>
      </c>
      <c r="G36">
        <v>4</v>
      </c>
      <c r="H36">
        <v>446.19</v>
      </c>
      <c r="I36" t="s">
        <v>18</v>
      </c>
      <c r="J36" t="s">
        <v>44</v>
      </c>
      <c r="K36" s="2">
        <v>1784.76</v>
      </c>
      <c r="L36" s="1">
        <v>45697</v>
      </c>
      <c r="M36">
        <v>1784.76</v>
      </c>
    </row>
    <row r="37" spans="1:13" x14ac:dyDescent="0.35">
      <c r="A37">
        <v>136</v>
      </c>
      <c r="B37" t="s">
        <v>130</v>
      </c>
      <c r="C37" t="s">
        <v>131</v>
      </c>
      <c r="D37" s="1">
        <v>45997</v>
      </c>
      <c r="E37" t="s">
        <v>132</v>
      </c>
      <c r="F37" t="s">
        <v>123</v>
      </c>
      <c r="G37">
        <v>1</v>
      </c>
      <c r="H37">
        <v>696.71</v>
      </c>
      <c r="I37" t="s">
        <v>56</v>
      </c>
      <c r="J37" t="s">
        <v>31</v>
      </c>
      <c r="K37" s="2">
        <v>696.71</v>
      </c>
      <c r="L37" s="1">
        <v>45820</v>
      </c>
      <c r="M37">
        <v>696.71</v>
      </c>
    </row>
    <row r="38" spans="1:13" x14ac:dyDescent="0.35">
      <c r="A38">
        <v>137</v>
      </c>
      <c r="B38" t="s">
        <v>133</v>
      </c>
      <c r="C38" t="s">
        <v>134</v>
      </c>
      <c r="D38" t="s">
        <v>135</v>
      </c>
      <c r="E38" t="s">
        <v>98</v>
      </c>
      <c r="F38" t="s">
        <v>17</v>
      </c>
      <c r="G38">
        <v>3</v>
      </c>
      <c r="H38">
        <v>-100</v>
      </c>
      <c r="I38" t="s">
        <v>18</v>
      </c>
      <c r="J38" t="s">
        <v>31</v>
      </c>
      <c r="K38" s="2">
        <v>-300</v>
      </c>
      <c r="L38" s="1">
        <v>45711</v>
      </c>
      <c r="M38">
        <v>-300</v>
      </c>
    </row>
    <row r="39" spans="1:13" x14ac:dyDescent="0.35">
      <c r="A39">
        <v>138</v>
      </c>
      <c r="B39" t="s">
        <v>136</v>
      </c>
      <c r="C39" t="s">
        <v>137</v>
      </c>
      <c r="D39" s="1">
        <v>45908</v>
      </c>
      <c r="E39" t="s">
        <v>110</v>
      </c>
      <c r="F39" t="s">
        <v>17</v>
      </c>
      <c r="G39">
        <v>1</v>
      </c>
      <c r="H39">
        <v>531.05999999999995</v>
      </c>
      <c r="I39" t="s">
        <v>24</v>
      </c>
      <c r="J39" t="s">
        <v>25</v>
      </c>
      <c r="K39" s="2">
        <v>531.05999999999995</v>
      </c>
      <c r="L39" s="1">
        <v>45878</v>
      </c>
      <c r="M39">
        <v>531.05999999999995</v>
      </c>
    </row>
    <row r="40" spans="1:13" x14ac:dyDescent="0.35">
      <c r="A40">
        <v>139</v>
      </c>
      <c r="B40" t="s">
        <v>138</v>
      </c>
      <c r="C40" t="s">
        <v>139</v>
      </c>
      <c r="D40" s="1">
        <v>45902</v>
      </c>
      <c r="E40" t="s">
        <v>22</v>
      </c>
      <c r="F40" t="s">
        <v>23</v>
      </c>
      <c r="G40">
        <v>2</v>
      </c>
      <c r="H40">
        <v>681.38</v>
      </c>
      <c r="I40" t="s">
        <v>56</v>
      </c>
      <c r="J40" t="s">
        <v>44</v>
      </c>
      <c r="K40" s="2">
        <v>1362.76</v>
      </c>
      <c r="L40" s="1">
        <v>45697</v>
      </c>
      <c r="M40">
        <v>1362.76</v>
      </c>
    </row>
    <row r="41" spans="1:13" x14ac:dyDescent="0.35">
      <c r="A41">
        <v>140</v>
      </c>
      <c r="B41" t="s">
        <v>140</v>
      </c>
      <c r="C41" t="s">
        <v>141</v>
      </c>
      <c r="D41" t="s">
        <v>142</v>
      </c>
      <c r="E41" t="s">
        <v>72</v>
      </c>
      <c r="F41" t="s">
        <v>36</v>
      </c>
      <c r="G41">
        <v>4</v>
      </c>
      <c r="H41">
        <v>588.98</v>
      </c>
      <c r="I41" t="s">
        <v>56</v>
      </c>
      <c r="J41" t="s">
        <v>50</v>
      </c>
      <c r="K41" s="2">
        <v>2355.92</v>
      </c>
      <c r="L41" s="1">
        <v>45714</v>
      </c>
      <c r="M41">
        <v>2355.92</v>
      </c>
    </row>
    <row r="42" spans="1:13" x14ac:dyDescent="0.35">
      <c r="A42">
        <v>141</v>
      </c>
      <c r="B42" t="s">
        <v>143</v>
      </c>
      <c r="C42" t="s">
        <v>144</v>
      </c>
      <c r="D42" t="s">
        <v>145</v>
      </c>
      <c r="E42" t="s">
        <v>72</v>
      </c>
      <c r="F42" t="s">
        <v>36</v>
      </c>
      <c r="G42">
        <v>3</v>
      </c>
      <c r="H42">
        <v>546.04</v>
      </c>
      <c r="I42" t="s">
        <v>18</v>
      </c>
      <c r="J42" t="s">
        <v>50</v>
      </c>
      <c r="K42" s="2">
        <v>1638.12</v>
      </c>
      <c r="L42" s="1">
        <v>45701</v>
      </c>
      <c r="M42">
        <v>1638.12</v>
      </c>
    </row>
    <row r="43" spans="1:13" x14ac:dyDescent="0.35">
      <c r="A43">
        <v>142</v>
      </c>
      <c r="B43" t="s">
        <v>146</v>
      </c>
      <c r="C43" t="s">
        <v>147</v>
      </c>
      <c r="D43" t="s">
        <v>77</v>
      </c>
      <c r="E43" t="s">
        <v>67</v>
      </c>
      <c r="F43" t="s">
        <v>68</v>
      </c>
      <c r="G43">
        <v>5</v>
      </c>
      <c r="H43">
        <v>645.26</v>
      </c>
      <c r="I43" t="s">
        <v>56</v>
      </c>
      <c r="J43" t="s">
        <v>19</v>
      </c>
      <c r="K43" s="2">
        <v>3226.3</v>
      </c>
      <c r="L43" s="1">
        <v>45960</v>
      </c>
      <c r="M43">
        <v>3226.3</v>
      </c>
    </row>
    <row r="44" spans="1:13" x14ac:dyDescent="0.35">
      <c r="A44">
        <v>143</v>
      </c>
      <c r="B44" t="s">
        <v>148</v>
      </c>
      <c r="C44" t="s">
        <v>149</v>
      </c>
      <c r="D44" s="1">
        <v>45968</v>
      </c>
      <c r="E44" t="s">
        <v>126</v>
      </c>
      <c r="F44" t="s">
        <v>68</v>
      </c>
      <c r="G44">
        <v>5</v>
      </c>
      <c r="H44">
        <v>826.77</v>
      </c>
      <c r="I44" t="s">
        <v>47</v>
      </c>
      <c r="J44" t="s">
        <v>44</v>
      </c>
      <c r="K44" s="2">
        <v>4133.8500000000004</v>
      </c>
      <c r="L44" s="1">
        <v>45849</v>
      </c>
      <c r="M44">
        <v>4133.8500000000004</v>
      </c>
    </row>
    <row r="45" spans="1:13" x14ac:dyDescent="0.35">
      <c r="A45">
        <v>144</v>
      </c>
      <c r="B45" t="s">
        <v>150</v>
      </c>
      <c r="C45" t="s">
        <v>151</v>
      </c>
      <c r="D45" t="s">
        <v>152</v>
      </c>
      <c r="E45" t="s">
        <v>153</v>
      </c>
      <c r="F45" t="s">
        <v>30</v>
      </c>
      <c r="G45">
        <v>5</v>
      </c>
      <c r="H45">
        <v>849.07</v>
      </c>
      <c r="I45" t="s">
        <v>47</v>
      </c>
      <c r="J45" t="s">
        <v>25</v>
      </c>
      <c r="K45" s="2">
        <v>4245.3500000000004</v>
      </c>
      <c r="L45" s="1">
        <v>45684</v>
      </c>
      <c r="M45">
        <v>4245.3500000000004</v>
      </c>
    </row>
    <row r="46" spans="1:13" x14ac:dyDescent="0.35">
      <c r="A46">
        <v>145</v>
      </c>
      <c r="B46" t="s">
        <v>154</v>
      </c>
      <c r="C46" t="s">
        <v>155</v>
      </c>
      <c r="D46" s="1">
        <v>44931</v>
      </c>
      <c r="E46" t="s">
        <v>156</v>
      </c>
      <c r="F46" t="s">
        <v>23</v>
      </c>
      <c r="G46">
        <v>2</v>
      </c>
      <c r="H46">
        <v>860.99</v>
      </c>
      <c r="I46" t="s">
        <v>47</v>
      </c>
      <c r="J46" t="s">
        <v>50</v>
      </c>
      <c r="K46" s="2">
        <v>1721.98</v>
      </c>
      <c r="L46" s="1">
        <v>45047</v>
      </c>
      <c r="M46">
        <v>1721.98</v>
      </c>
    </row>
    <row r="47" spans="1:13" x14ac:dyDescent="0.35">
      <c r="A47">
        <v>146</v>
      </c>
      <c r="B47" t="s">
        <v>157</v>
      </c>
      <c r="C47" t="s">
        <v>158</v>
      </c>
      <c r="D47" s="1">
        <v>45907</v>
      </c>
      <c r="E47" t="s">
        <v>60</v>
      </c>
      <c r="F47" t="s">
        <v>30</v>
      </c>
      <c r="G47">
        <v>2</v>
      </c>
      <c r="H47">
        <v>705.42</v>
      </c>
      <c r="I47" t="s">
        <v>47</v>
      </c>
      <c r="J47" t="s">
        <v>25</v>
      </c>
      <c r="K47" s="2">
        <v>1410.84</v>
      </c>
      <c r="L47" s="1">
        <v>45847</v>
      </c>
      <c r="M47">
        <v>1410.84</v>
      </c>
    </row>
    <row r="48" spans="1:13" x14ac:dyDescent="0.35">
      <c r="A48">
        <v>147</v>
      </c>
      <c r="B48" t="s">
        <v>159</v>
      </c>
      <c r="C48" t="s">
        <v>160</v>
      </c>
      <c r="D48" s="1">
        <v>45662</v>
      </c>
      <c r="E48" t="s">
        <v>161</v>
      </c>
      <c r="F48" t="s">
        <v>68</v>
      </c>
      <c r="G48">
        <v>4</v>
      </c>
      <c r="H48">
        <v>596.15</v>
      </c>
      <c r="I48" t="s">
        <v>18</v>
      </c>
      <c r="J48" t="s">
        <v>19</v>
      </c>
      <c r="K48" s="2">
        <v>2384.6</v>
      </c>
      <c r="L48" s="1">
        <v>45778</v>
      </c>
      <c r="M48">
        <v>2384.6</v>
      </c>
    </row>
    <row r="49" spans="1:13" x14ac:dyDescent="0.35">
      <c r="A49">
        <v>148</v>
      </c>
      <c r="B49" t="s">
        <v>162</v>
      </c>
      <c r="C49" t="s">
        <v>163</v>
      </c>
      <c r="D49" t="s">
        <v>164</v>
      </c>
      <c r="E49" t="s">
        <v>29</v>
      </c>
      <c r="F49" t="s">
        <v>30</v>
      </c>
      <c r="G49">
        <v>1</v>
      </c>
      <c r="H49">
        <v>660.98</v>
      </c>
      <c r="I49" t="s">
        <v>18</v>
      </c>
      <c r="J49" t="s">
        <v>50</v>
      </c>
      <c r="K49" s="2">
        <v>660.98</v>
      </c>
      <c r="L49" s="1">
        <v>45729</v>
      </c>
      <c r="M49">
        <v>660.98</v>
      </c>
    </row>
    <row r="50" spans="1:13" x14ac:dyDescent="0.35">
      <c r="A50">
        <v>149</v>
      </c>
      <c r="B50" t="s">
        <v>165</v>
      </c>
      <c r="C50" t="s">
        <v>166</v>
      </c>
      <c r="D50" t="s">
        <v>167</v>
      </c>
      <c r="E50" t="s">
        <v>64</v>
      </c>
      <c r="F50" t="s">
        <v>36</v>
      </c>
      <c r="G50">
        <v>5</v>
      </c>
      <c r="H50">
        <v>896.38</v>
      </c>
      <c r="I50" t="s">
        <v>47</v>
      </c>
      <c r="J50" t="s">
        <v>44</v>
      </c>
      <c r="K50" s="2">
        <v>4481.8999999999996</v>
      </c>
      <c r="L50" s="1">
        <v>45837</v>
      </c>
      <c r="M50">
        <v>4481.8999999999996</v>
      </c>
    </row>
    <row r="51" spans="1:13" x14ac:dyDescent="0.35">
      <c r="A51">
        <v>150</v>
      </c>
      <c r="B51" t="s">
        <v>168</v>
      </c>
      <c r="C51" t="s">
        <v>169</v>
      </c>
      <c r="D51" t="s">
        <v>170</v>
      </c>
      <c r="E51" t="s">
        <v>90</v>
      </c>
      <c r="F51" t="s">
        <v>30</v>
      </c>
      <c r="G51">
        <v>1</v>
      </c>
      <c r="H51">
        <v>206.19</v>
      </c>
      <c r="I51" t="s">
        <v>56</v>
      </c>
      <c r="J51" t="s">
        <v>50</v>
      </c>
      <c r="K51" s="2">
        <v>206.19</v>
      </c>
      <c r="L51" s="1">
        <v>45623</v>
      </c>
      <c r="M51">
        <v>206.19</v>
      </c>
    </row>
    <row r="52" spans="1:13" x14ac:dyDescent="0.35">
      <c r="A52">
        <v>151</v>
      </c>
      <c r="B52" t="s">
        <v>171</v>
      </c>
      <c r="C52" t="s">
        <v>172</v>
      </c>
      <c r="D52" s="1">
        <v>45664</v>
      </c>
      <c r="E52" t="s">
        <v>64</v>
      </c>
      <c r="F52" t="s">
        <v>36</v>
      </c>
      <c r="G52">
        <v>2</v>
      </c>
      <c r="H52">
        <v>457.16</v>
      </c>
      <c r="I52" t="s">
        <v>24</v>
      </c>
      <c r="J52" t="s">
        <v>25</v>
      </c>
      <c r="K52" s="2">
        <v>914.32</v>
      </c>
      <c r="L52" s="1">
        <v>45839</v>
      </c>
      <c r="M52">
        <v>914.32</v>
      </c>
    </row>
    <row r="53" spans="1:13" x14ac:dyDescent="0.35">
      <c r="A53">
        <v>152</v>
      </c>
      <c r="B53" t="s">
        <v>173</v>
      </c>
      <c r="C53" t="s">
        <v>174</v>
      </c>
      <c r="D53" t="s">
        <v>175</v>
      </c>
      <c r="E53" t="s">
        <v>110</v>
      </c>
      <c r="F53" t="s">
        <v>17</v>
      </c>
      <c r="G53">
        <v>3</v>
      </c>
      <c r="H53">
        <v>233.11</v>
      </c>
      <c r="I53" t="s">
        <v>24</v>
      </c>
      <c r="J53" t="s">
        <v>50</v>
      </c>
      <c r="K53" s="2">
        <v>699.33</v>
      </c>
      <c r="L53" s="1">
        <v>45922</v>
      </c>
      <c r="M53">
        <v>699.33</v>
      </c>
    </row>
    <row r="54" spans="1:13" x14ac:dyDescent="0.35">
      <c r="A54">
        <v>153</v>
      </c>
      <c r="B54" t="s">
        <v>176</v>
      </c>
      <c r="C54" t="s">
        <v>177</v>
      </c>
      <c r="D54" t="s">
        <v>178</v>
      </c>
      <c r="E54" t="s">
        <v>90</v>
      </c>
      <c r="F54" t="s">
        <v>30</v>
      </c>
      <c r="G54">
        <v>4</v>
      </c>
      <c r="H54">
        <v>278.89999999999998</v>
      </c>
      <c r="I54" t="s">
        <v>18</v>
      </c>
      <c r="J54" t="s">
        <v>25</v>
      </c>
      <c r="K54" s="2">
        <v>1115.5999999999999</v>
      </c>
      <c r="L54" s="1">
        <v>45854</v>
      </c>
      <c r="M54">
        <v>1115.5999999999999</v>
      </c>
    </row>
    <row r="55" spans="1:13" x14ac:dyDescent="0.35">
      <c r="A55">
        <v>154</v>
      </c>
      <c r="B55" t="s">
        <v>179</v>
      </c>
      <c r="C55" t="s">
        <v>180</v>
      </c>
      <c r="D55" t="s">
        <v>181</v>
      </c>
      <c r="E55" t="s">
        <v>16</v>
      </c>
      <c r="F55" t="s">
        <v>17</v>
      </c>
      <c r="G55">
        <v>5</v>
      </c>
      <c r="H55">
        <v>789.64</v>
      </c>
      <c r="I55" t="s">
        <v>18</v>
      </c>
      <c r="J55" t="s">
        <v>44</v>
      </c>
      <c r="K55" s="2">
        <v>3948.2</v>
      </c>
      <c r="L55" s="1">
        <v>45709</v>
      </c>
      <c r="M55">
        <v>3948.2</v>
      </c>
    </row>
    <row r="56" spans="1:13" x14ac:dyDescent="0.35">
      <c r="A56">
        <v>155</v>
      </c>
      <c r="B56" t="s">
        <v>182</v>
      </c>
      <c r="C56" t="s">
        <v>183</v>
      </c>
      <c r="D56" s="1">
        <v>45662</v>
      </c>
      <c r="E56" t="s">
        <v>184</v>
      </c>
      <c r="F56" t="s">
        <v>68</v>
      </c>
      <c r="G56">
        <v>1</v>
      </c>
      <c r="H56">
        <v>40.950000000000003</v>
      </c>
      <c r="I56" t="s">
        <v>24</v>
      </c>
      <c r="J56" t="s">
        <v>50</v>
      </c>
      <c r="K56" s="2">
        <v>40.950000000000003</v>
      </c>
      <c r="L56" s="1">
        <v>45778</v>
      </c>
      <c r="M56">
        <v>40.950000000000003</v>
      </c>
    </row>
    <row r="57" spans="1:13" x14ac:dyDescent="0.35">
      <c r="A57">
        <v>156</v>
      </c>
      <c r="B57" t="s">
        <v>185</v>
      </c>
      <c r="C57" t="s">
        <v>186</v>
      </c>
      <c r="D57" t="s">
        <v>187</v>
      </c>
      <c r="E57" t="s">
        <v>188</v>
      </c>
      <c r="F57" t="s">
        <v>68</v>
      </c>
      <c r="G57">
        <v>2</v>
      </c>
      <c r="H57">
        <v>538.35</v>
      </c>
      <c r="I57" t="s">
        <v>47</v>
      </c>
      <c r="J57" t="s">
        <v>19</v>
      </c>
      <c r="K57" s="2">
        <v>1076.7</v>
      </c>
      <c r="L57" s="1">
        <v>45624</v>
      </c>
      <c r="M57">
        <v>1076.7</v>
      </c>
    </row>
    <row r="58" spans="1:13" x14ac:dyDescent="0.35">
      <c r="A58">
        <v>157</v>
      </c>
      <c r="B58" t="s">
        <v>189</v>
      </c>
      <c r="C58" t="s">
        <v>190</v>
      </c>
      <c r="D58" s="1">
        <v>45819</v>
      </c>
      <c r="E58" t="s">
        <v>161</v>
      </c>
      <c r="F58" t="s">
        <v>68</v>
      </c>
      <c r="G58">
        <v>4</v>
      </c>
      <c r="H58">
        <v>275.10000000000002</v>
      </c>
      <c r="I58" t="s">
        <v>47</v>
      </c>
      <c r="J58" t="s">
        <v>25</v>
      </c>
      <c r="K58" s="2">
        <v>1100.4000000000001</v>
      </c>
      <c r="L58" s="1">
        <v>45967</v>
      </c>
      <c r="M58">
        <v>1100.4000000000001</v>
      </c>
    </row>
    <row r="59" spans="1:13" x14ac:dyDescent="0.35">
      <c r="A59">
        <v>158</v>
      </c>
      <c r="B59" t="s">
        <v>191</v>
      </c>
      <c r="C59" t="s">
        <v>192</v>
      </c>
      <c r="D59" s="1">
        <v>45781</v>
      </c>
      <c r="E59" t="s">
        <v>129</v>
      </c>
      <c r="F59" t="s">
        <v>23</v>
      </c>
      <c r="G59">
        <v>1</v>
      </c>
      <c r="H59">
        <v>933.58</v>
      </c>
      <c r="I59" t="s">
        <v>18</v>
      </c>
      <c r="J59" t="s">
        <v>19</v>
      </c>
      <c r="K59" s="2">
        <v>933.58</v>
      </c>
      <c r="L59" s="1">
        <v>45752</v>
      </c>
      <c r="M59">
        <v>933.58</v>
      </c>
    </row>
    <row r="60" spans="1:13" x14ac:dyDescent="0.35">
      <c r="A60">
        <v>159</v>
      </c>
      <c r="B60" t="s">
        <v>193</v>
      </c>
      <c r="C60" t="s">
        <v>194</v>
      </c>
      <c r="D60" t="s">
        <v>195</v>
      </c>
      <c r="E60" t="s">
        <v>78</v>
      </c>
      <c r="F60" t="s">
        <v>17</v>
      </c>
      <c r="G60">
        <v>3</v>
      </c>
      <c r="H60">
        <v>163.16</v>
      </c>
      <c r="I60" t="s">
        <v>24</v>
      </c>
      <c r="J60" t="s">
        <v>19</v>
      </c>
      <c r="K60" s="2">
        <v>489.48</v>
      </c>
      <c r="L60" s="1">
        <v>45866</v>
      </c>
      <c r="M60">
        <v>489.48</v>
      </c>
    </row>
    <row r="61" spans="1:13" x14ac:dyDescent="0.35">
      <c r="A61">
        <v>160</v>
      </c>
      <c r="B61" t="s">
        <v>196</v>
      </c>
      <c r="C61" t="s">
        <v>197</v>
      </c>
      <c r="D61" s="1">
        <v>45717</v>
      </c>
      <c r="E61" t="s">
        <v>35</v>
      </c>
      <c r="F61" t="s">
        <v>36</v>
      </c>
      <c r="G61">
        <v>5</v>
      </c>
      <c r="H61">
        <v>242.52</v>
      </c>
      <c r="I61" t="s">
        <v>18</v>
      </c>
      <c r="J61" t="s">
        <v>50</v>
      </c>
      <c r="K61" s="3">
        <v>1212.5999999999999</v>
      </c>
      <c r="L61" s="1">
        <v>45660</v>
      </c>
      <c r="M61" s="3">
        <v>1212.5999999999999</v>
      </c>
    </row>
    <row r="62" spans="1:13" x14ac:dyDescent="0.35">
      <c r="A62">
        <v>161</v>
      </c>
      <c r="B62" t="s">
        <v>198</v>
      </c>
      <c r="C62" t="s">
        <v>199</v>
      </c>
      <c r="D62" t="s">
        <v>200</v>
      </c>
      <c r="E62" t="s">
        <v>35</v>
      </c>
      <c r="F62" t="s">
        <v>36</v>
      </c>
      <c r="G62">
        <v>4</v>
      </c>
      <c r="H62">
        <v>209.32</v>
      </c>
      <c r="I62" t="s">
        <v>47</v>
      </c>
      <c r="J62" t="s">
        <v>19</v>
      </c>
      <c r="K62" s="2">
        <v>837.28</v>
      </c>
      <c r="L62" s="1">
        <v>45641</v>
      </c>
      <c r="M62">
        <v>837.28</v>
      </c>
    </row>
    <row r="63" spans="1:13" x14ac:dyDescent="0.35">
      <c r="A63">
        <v>162</v>
      </c>
      <c r="B63" t="s">
        <v>201</v>
      </c>
      <c r="C63" t="s">
        <v>202</v>
      </c>
      <c r="D63" t="s">
        <v>203</v>
      </c>
      <c r="E63" t="s">
        <v>16</v>
      </c>
      <c r="F63" t="s">
        <v>17</v>
      </c>
      <c r="G63">
        <v>2</v>
      </c>
      <c r="H63">
        <v>155.76</v>
      </c>
      <c r="I63" t="s">
        <v>56</v>
      </c>
      <c r="J63" t="s">
        <v>50</v>
      </c>
      <c r="K63" s="2">
        <v>311.52</v>
      </c>
      <c r="L63" s="1">
        <v>45796</v>
      </c>
      <c r="M63">
        <v>311.52</v>
      </c>
    </row>
    <row r="64" spans="1:13" x14ac:dyDescent="0.35">
      <c r="A64">
        <v>163</v>
      </c>
      <c r="B64" t="s">
        <v>204</v>
      </c>
      <c r="C64" t="s">
        <v>205</v>
      </c>
      <c r="D64" s="1">
        <v>45047</v>
      </c>
      <c r="E64" t="s">
        <v>129</v>
      </c>
      <c r="F64" t="s">
        <v>23</v>
      </c>
      <c r="G64">
        <v>3</v>
      </c>
      <c r="H64">
        <v>235.26</v>
      </c>
      <c r="I64" t="s">
        <v>18</v>
      </c>
      <c r="J64" t="s">
        <v>19</v>
      </c>
      <c r="K64" s="2">
        <v>705.78</v>
      </c>
      <c r="L64" s="1">
        <v>44931</v>
      </c>
      <c r="M64">
        <v>705.78</v>
      </c>
    </row>
    <row r="65" spans="1:13" x14ac:dyDescent="0.35">
      <c r="A65">
        <v>164</v>
      </c>
      <c r="B65" t="s">
        <v>206</v>
      </c>
      <c r="C65" t="s">
        <v>207</v>
      </c>
      <c r="D65" s="1">
        <v>45902</v>
      </c>
      <c r="E65" t="s">
        <v>29</v>
      </c>
      <c r="F65" t="s">
        <v>30</v>
      </c>
      <c r="G65">
        <v>3</v>
      </c>
      <c r="H65">
        <v>587.64</v>
      </c>
      <c r="I65" t="s">
        <v>56</v>
      </c>
      <c r="J65" t="s">
        <v>50</v>
      </c>
      <c r="K65" s="2">
        <v>1762.92</v>
      </c>
      <c r="L65" s="1">
        <v>45697</v>
      </c>
      <c r="M65">
        <v>1762.92</v>
      </c>
    </row>
    <row r="66" spans="1:13" x14ac:dyDescent="0.35">
      <c r="A66">
        <v>165</v>
      </c>
      <c r="B66" t="s">
        <v>208</v>
      </c>
      <c r="C66" t="s">
        <v>209</v>
      </c>
      <c r="D66" s="1">
        <v>45515</v>
      </c>
      <c r="E66" t="s">
        <v>67</v>
      </c>
      <c r="F66" t="s">
        <v>68</v>
      </c>
      <c r="G66">
        <v>2</v>
      </c>
      <c r="H66">
        <v>443.13</v>
      </c>
      <c r="I66" t="s">
        <v>56</v>
      </c>
      <c r="J66" t="s">
        <v>31</v>
      </c>
      <c r="K66" s="2">
        <v>886.26</v>
      </c>
      <c r="L66" s="1">
        <v>45604</v>
      </c>
      <c r="M66">
        <v>886.26</v>
      </c>
    </row>
    <row r="67" spans="1:13" x14ac:dyDescent="0.35">
      <c r="A67">
        <v>166</v>
      </c>
      <c r="B67" t="s">
        <v>210</v>
      </c>
      <c r="C67" t="s">
        <v>211</v>
      </c>
      <c r="D67" s="1">
        <v>45723</v>
      </c>
      <c r="E67" t="s">
        <v>126</v>
      </c>
      <c r="F67" t="s">
        <v>68</v>
      </c>
      <c r="G67">
        <v>2</v>
      </c>
      <c r="H67">
        <v>569.38</v>
      </c>
      <c r="I67" t="s">
        <v>18</v>
      </c>
      <c r="J67" t="s">
        <v>19</v>
      </c>
      <c r="K67" s="2">
        <v>1138.76</v>
      </c>
      <c r="L67" s="1">
        <v>45841</v>
      </c>
      <c r="M67">
        <v>1138.76</v>
      </c>
    </row>
    <row r="68" spans="1:13" x14ac:dyDescent="0.35">
      <c r="A68">
        <v>167</v>
      </c>
      <c r="B68" t="s">
        <v>212</v>
      </c>
      <c r="C68" t="s">
        <v>213</v>
      </c>
      <c r="D68" s="1">
        <v>45846</v>
      </c>
      <c r="E68" t="s">
        <v>60</v>
      </c>
      <c r="F68" t="s">
        <v>30</v>
      </c>
      <c r="G68">
        <v>3</v>
      </c>
      <c r="H68">
        <v>593.92999999999995</v>
      </c>
      <c r="I68" t="s">
        <v>18</v>
      </c>
      <c r="J68" t="s">
        <v>25</v>
      </c>
      <c r="K68" s="2">
        <v>1781.79</v>
      </c>
      <c r="L68" s="1">
        <v>45876</v>
      </c>
      <c r="M68">
        <v>1781.79</v>
      </c>
    </row>
    <row r="69" spans="1:13" x14ac:dyDescent="0.35">
      <c r="A69">
        <v>168</v>
      </c>
      <c r="B69" t="s">
        <v>214</v>
      </c>
      <c r="C69" t="s">
        <v>215</v>
      </c>
      <c r="D69" s="1">
        <v>45758</v>
      </c>
      <c r="E69" t="s">
        <v>40</v>
      </c>
      <c r="F69" t="s">
        <v>36</v>
      </c>
      <c r="G69">
        <v>2</v>
      </c>
      <c r="H69">
        <v>141.49</v>
      </c>
      <c r="I69" t="s">
        <v>24</v>
      </c>
      <c r="J69" t="s">
        <v>44</v>
      </c>
      <c r="K69" s="2">
        <v>282.98</v>
      </c>
      <c r="L69" s="1">
        <v>45965</v>
      </c>
      <c r="M69">
        <v>282.98</v>
      </c>
    </row>
    <row r="70" spans="1:13" x14ac:dyDescent="0.35">
      <c r="A70">
        <v>169</v>
      </c>
      <c r="B70" t="s">
        <v>216</v>
      </c>
      <c r="C70" t="s">
        <v>217</v>
      </c>
      <c r="D70" s="1">
        <v>45999</v>
      </c>
      <c r="E70" t="s">
        <v>60</v>
      </c>
      <c r="F70" t="s">
        <v>30</v>
      </c>
      <c r="G70">
        <v>1</v>
      </c>
      <c r="H70">
        <v>582.13</v>
      </c>
      <c r="I70" t="s">
        <v>56</v>
      </c>
      <c r="J70" t="s">
        <v>50</v>
      </c>
      <c r="K70" s="2">
        <v>582.13</v>
      </c>
      <c r="L70" s="1">
        <v>45881</v>
      </c>
      <c r="M70">
        <v>582.13</v>
      </c>
    </row>
    <row r="71" spans="1:13" x14ac:dyDescent="0.35">
      <c r="A71">
        <v>170</v>
      </c>
      <c r="B71" t="s">
        <v>218</v>
      </c>
      <c r="C71" t="s">
        <v>219</v>
      </c>
      <c r="D71" s="1">
        <v>45726</v>
      </c>
      <c r="E71" t="s">
        <v>188</v>
      </c>
      <c r="F71" t="s">
        <v>68</v>
      </c>
      <c r="G71">
        <v>5</v>
      </c>
      <c r="H71">
        <v>741.63</v>
      </c>
      <c r="I71" t="s">
        <v>47</v>
      </c>
      <c r="J71" t="s">
        <v>25</v>
      </c>
      <c r="K71" s="2">
        <v>3708.15</v>
      </c>
      <c r="L71" s="1">
        <v>45933</v>
      </c>
      <c r="M71">
        <v>3708.15</v>
      </c>
    </row>
    <row r="72" spans="1:13" x14ac:dyDescent="0.35">
      <c r="A72">
        <v>171</v>
      </c>
      <c r="B72" t="s">
        <v>220</v>
      </c>
      <c r="C72" t="s">
        <v>221</v>
      </c>
      <c r="D72" s="1">
        <v>45455</v>
      </c>
      <c r="E72" t="s">
        <v>67</v>
      </c>
      <c r="F72" t="s">
        <v>68</v>
      </c>
      <c r="G72">
        <v>3</v>
      </c>
      <c r="H72">
        <v>688.68</v>
      </c>
      <c r="I72" t="s">
        <v>24</v>
      </c>
      <c r="J72" t="s">
        <v>25</v>
      </c>
      <c r="K72" s="2">
        <v>2066.04</v>
      </c>
      <c r="L72" s="1">
        <v>45632</v>
      </c>
      <c r="M72">
        <v>2066.04</v>
      </c>
    </row>
    <row r="73" spans="1:13" x14ac:dyDescent="0.35">
      <c r="A73">
        <v>172</v>
      </c>
      <c r="B73" t="s">
        <v>222</v>
      </c>
      <c r="C73" t="s">
        <v>223</v>
      </c>
      <c r="D73" t="s">
        <v>224</v>
      </c>
      <c r="E73" t="s">
        <v>64</v>
      </c>
      <c r="F73" t="s">
        <v>36</v>
      </c>
      <c r="G73">
        <v>2</v>
      </c>
      <c r="H73">
        <v>942.76</v>
      </c>
      <c r="I73" t="s">
        <v>47</v>
      </c>
      <c r="J73" t="s">
        <v>50</v>
      </c>
      <c r="K73" s="2">
        <v>1885.52</v>
      </c>
      <c r="L73" s="1">
        <v>45614</v>
      </c>
      <c r="M73">
        <v>1885.52</v>
      </c>
    </row>
    <row r="74" spans="1:13" x14ac:dyDescent="0.35">
      <c r="A74">
        <v>173</v>
      </c>
      <c r="B74" t="s">
        <v>225</v>
      </c>
      <c r="C74" t="s">
        <v>226</v>
      </c>
      <c r="D74" s="1">
        <v>45971</v>
      </c>
      <c r="E74" t="s">
        <v>110</v>
      </c>
      <c r="F74" t="s">
        <v>17</v>
      </c>
      <c r="G74">
        <v>5</v>
      </c>
      <c r="H74">
        <v>351.89</v>
      </c>
      <c r="I74" t="s">
        <v>56</v>
      </c>
      <c r="J74" t="s">
        <v>19</v>
      </c>
      <c r="K74" s="3">
        <v>1759.44999999999</v>
      </c>
      <c r="L74" s="1">
        <v>45941</v>
      </c>
      <c r="M74" s="3">
        <v>1759.44999999999</v>
      </c>
    </row>
    <row r="75" spans="1:13" x14ac:dyDescent="0.35">
      <c r="A75">
        <v>174</v>
      </c>
      <c r="B75" t="s">
        <v>227</v>
      </c>
      <c r="C75" t="s">
        <v>228</v>
      </c>
      <c r="D75" t="s">
        <v>229</v>
      </c>
      <c r="E75" t="s">
        <v>78</v>
      </c>
      <c r="F75" t="s">
        <v>17</v>
      </c>
      <c r="G75">
        <v>4</v>
      </c>
      <c r="H75">
        <v>187.48</v>
      </c>
      <c r="I75" t="s">
        <v>56</v>
      </c>
      <c r="J75" t="s">
        <v>50</v>
      </c>
      <c r="K75" s="2">
        <v>749.92</v>
      </c>
      <c r="L75" s="1">
        <v>45920</v>
      </c>
      <c r="M75">
        <v>749.92</v>
      </c>
    </row>
    <row r="76" spans="1:13" x14ac:dyDescent="0.35">
      <c r="A76">
        <v>175</v>
      </c>
      <c r="B76" t="s">
        <v>230</v>
      </c>
      <c r="C76" t="s">
        <v>231</v>
      </c>
      <c r="D76" t="s">
        <v>232</v>
      </c>
      <c r="E76" t="s">
        <v>132</v>
      </c>
      <c r="F76" t="s">
        <v>23</v>
      </c>
      <c r="G76">
        <v>1</v>
      </c>
      <c r="H76">
        <v>111.36</v>
      </c>
      <c r="I76" t="s">
        <v>56</v>
      </c>
      <c r="J76" t="s">
        <v>25</v>
      </c>
      <c r="K76" s="2">
        <v>111.36</v>
      </c>
      <c r="L76" s="1">
        <v>45712</v>
      </c>
      <c r="M76">
        <v>111.36</v>
      </c>
    </row>
    <row r="77" spans="1:13" x14ac:dyDescent="0.35">
      <c r="A77">
        <v>176</v>
      </c>
      <c r="B77" t="s">
        <v>233</v>
      </c>
      <c r="C77" t="s">
        <v>234</v>
      </c>
      <c r="D77" t="s">
        <v>235</v>
      </c>
      <c r="E77" t="s">
        <v>64</v>
      </c>
      <c r="F77" t="s">
        <v>36</v>
      </c>
      <c r="G77">
        <v>5</v>
      </c>
      <c r="H77">
        <v>530.52</v>
      </c>
      <c r="I77" t="s">
        <v>18</v>
      </c>
      <c r="J77" t="s">
        <v>19</v>
      </c>
      <c r="K77" s="2">
        <v>2652.6</v>
      </c>
      <c r="L77" s="1">
        <v>45860</v>
      </c>
      <c r="M77">
        <v>2652.6</v>
      </c>
    </row>
    <row r="78" spans="1:13" x14ac:dyDescent="0.35">
      <c r="A78">
        <v>177</v>
      </c>
      <c r="B78" t="s">
        <v>236</v>
      </c>
      <c r="C78" t="s">
        <v>237</v>
      </c>
      <c r="D78" t="s">
        <v>195</v>
      </c>
      <c r="E78" t="s">
        <v>156</v>
      </c>
      <c r="F78" t="s">
        <v>23</v>
      </c>
      <c r="G78">
        <v>1</v>
      </c>
      <c r="H78">
        <v>69.48</v>
      </c>
      <c r="I78" t="s">
        <v>47</v>
      </c>
      <c r="J78" t="s">
        <v>50</v>
      </c>
      <c r="K78" s="2">
        <v>69.48</v>
      </c>
      <c r="L78" s="1">
        <v>45866</v>
      </c>
      <c r="M78">
        <v>69.48</v>
      </c>
    </row>
    <row r="79" spans="1:13" x14ac:dyDescent="0.35">
      <c r="A79">
        <v>178</v>
      </c>
      <c r="B79" t="s">
        <v>238</v>
      </c>
      <c r="C79" t="s">
        <v>239</v>
      </c>
      <c r="D79" t="s">
        <v>240</v>
      </c>
      <c r="E79" t="s">
        <v>29</v>
      </c>
      <c r="F79" t="s">
        <v>30</v>
      </c>
      <c r="G79">
        <v>3</v>
      </c>
      <c r="H79">
        <v>472.14</v>
      </c>
      <c r="I79" t="s">
        <v>24</v>
      </c>
      <c r="J79" t="s">
        <v>50</v>
      </c>
      <c r="K79" s="2">
        <v>1416.42</v>
      </c>
      <c r="L79" s="1">
        <v>45918</v>
      </c>
      <c r="M79">
        <v>1416.42</v>
      </c>
    </row>
    <row r="80" spans="1:13" x14ac:dyDescent="0.35">
      <c r="A80">
        <v>179</v>
      </c>
      <c r="B80" t="s">
        <v>241</v>
      </c>
      <c r="C80" t="s">
        <v>242</v>
      </c>
      <c r="D80" s="1">
        <v>45725</v>
      </c>
      <c r="E80" t="s">
        <v>90</v>
      </c>
      <c r="F80" t="s">
        <v>30</v>
      </c>
      <c r="G80">
        <v>3</v>
      </c>
      <c r="H80">
        <v>868.67</v>
      </c>
      <c r="I80" t="s">
        <v>24</v>
      </c>
      <c r="J80" t="s">
        <v>31</v>
      </c>
      <c r="K80" s="3">
        <v>2606.0099999999902</v>
      </c>
      <c r="L80" s="1">
        <v>45903</v>
      </c>
      <c r="M80" s="3">
        <v>2606.0099999999902</v>
      </c>
    </row>
    <row r="81" spans="1:13" x14ac:dyDescent="0.35">
      <c r="A81">
        <v>180</v>
      </c>
      <c r="B81" t="s">
        <v>243</v>
      </c>
      <c r="C81" t="s">
        <v>244</v>
      </c>
      <c r="D81" t="s">
        <v>245</v>
      </c>
      <c r="E81" t="s">
        <v>156</v>
      </c>
      <c r="F81" t="s">
        <v>123</v>
      </c>
      <c r="G81">
        <v>2</v>
      </c>
      <c r="H81">
        <v>418.38</v>
      </c>
      <c r="I81" t="s">
        <v>56</v>
      </c>
      <c r="J81" t="s">
        <v>25</v>
      </c>
      <c r="K81" s="2">
        <v>836.76</v>
      </c>
      <c r="L81" s="1">
        <v>45742</v>
      </c>
      <c r="M81">
        <v>836.76</v>
      </c>
    </row>
    <row r="82" spans="1:13" x14ac:dyDescent="0.35">
      <c r="A82">
        <v>181</v>
      </c>
      <c r="B82" t="s">
        <v>246</v>
      </c>
      <c r="C82" t="s">
        <v>247</v>
      </c>
      <c r="D82" t="s">
        <v>248</v>
      </c>
      <c r="E82" t="s">
        <v>22</v>
      </c>
      <c r="F82" t="s">
        <v>123</v>
      </c>
      <c r="G82">
        <v>1</v>
      </c>
      <c r="H82">
        <v>266.48</v>
      </c>
      <c r="I82" t="s">
        <v>18</v>
      </c>
      <c r="J82" t="s">
        <v>44</v>
      </c>
      <c r="K82" s="2">
        <v>266.48</v>
      </c>
      <c r="L82" s="1">
        <v>45655</v>
      </c>
      <c r="M82">
        <v>266.48</v>
      </c>
    </row>
    <row r="83" spans="1:13" x14ac:dyDescent="0.35">
      <c r="A83">
        <v>182</v>
      </c>
      <c r="B83" t="s">
        <v>249</v>
      </c>
      <c r="C83" t="s">
        <v>250</v>
      </c>
      <c r="D83" s="1">
        <v>45724</v>
      </c>
      <c r="E83" t="s">
        <v>67</v>
      </c>
      <c r="F83" t="s">
        <v>123</v>
      </c>
      <c r="G83">
        <v>4</v>
      </c>
      <c r="H83">
        <v>538.35</v>
      </c>
      <c r="I83" t="s">
        <v>24</v>
      </c>
      <c r="J83" t="s">
        <v>25</v>
      </c>
      <c r="K83" s="2">
        <v>2153.4</v>
      </c>
      <c r="L83" s="1">
        <v>45872</v>
      </c>
      <c r="M83">
        <v>2153.4</v>
      </c>
    </row>
    <row r="84" spans="1:13" x14ac:dyDescent="0.35">
      <c r="A84">
        <v>183</v>
      </c>
      <c r="B84" t="s">
        <v>251</v>
      </c>
      <c r="C84" t="s">
        <v>252</v>
      </c>
      <c r="D84" s="1">
        <v>45933</v>
      </c>
      <c r="E84" t="s">
        <v>67</v>
      </c>
      <c r="F84" t="s">
        <v>68</v>
      </c>
      <c r="G84">
        <v>5</v>
      </c>
      <c r="H84">
        <v>538.35</v>
      </c>
      <c r="I84" t="s">
        <v>18</v>
      </c>
      <c r="J84" t="s">
        <v>50</v>
      </c>
      <c r="K84" s="2">
        <v>2691.75</v>
      </c>
      <c r="L84" s="1">
        <v>45726</v>
      </c>
      <c r="M84">
        <v>2691.75</v>
      </c>
    </row>
    <row r="85" spans="1:13" x14ac:dyDescent="0.35">
      <c r="A85">
        <v>184</v>
      </c>
      <c r="B85" t="s">
        <v>253</v>
      </c>
      <c r="C85" t="s">
        <v>254</v>
      </c>
      <c r="D85" t="s">
        <v>255</v>
      </c>
      <c r="E85" t="s">
        <v>188</v>
      </c>
      <c r="F85" t="s">
        <v>123</v>
      </c>
      <c r="G85">
        <v>4</v>
      </c>
      <c r="H85">
        <v>101.19</v>
      </c>
      <c r="I85" t="s">
        <v>47</v>
      </c>
      <c r="J85" t="s">
        <v>25</v>
      </c>
      <c r="K85" s="2">
        <v>404.76</v>
      </c>
      <c r="L85" s="1">
        <v>45703</v>
      </c>
      <c r="M85">
        <v>404.76</v>
      </c>
    </row>
    <row r="86" spans="1:13" x14ac:dyDescent="0.35">
      <c r="A86">
        <v>185</v>
      </c>
      <c r="B86" t="s">
        <v>256</v>
      </c>
      <c r="C86" t="s">
        <v>257</v>
      </c>
      <c r="D86" t="s">
        <v>258</v>
      </c>
      <c r="E86" t="s">
        <v>153</v>
      </c>
      <c r="F86" t="s">
        <v>30</v>
      </c>
      <c r="G86">
        <v>2</v>
      </c>
      <c r="H86">
        <v>730.92</v>
      </c>
      <c r="I86" t="s">
        <v>18</v>
      </c>
      <c r="J86" t="s">
        <v>44</v>
      </c>
      <c r="K86" s="2">
        <v>1461.84</v>
      </c>
      <c r="L86" s="1">
        <v>45883</v>
      </c>
      <c r="M86">
        <v>1461.84</v>
      </c>
    </row>
    <row r="87" spans="1:13" x14ac:dyDescent="0.35">
      <c r="A87">
        <v>186</v>
      </c>
      <c r="B87" t="s">
        <v>259</v>
      </c>
      <c r="C87" t="s">
        <v>260</v>
      </c>
      <c r="D87" s="1">
        <v>45818</v>
      </c>
      <c r="E87" t="s">
        <v>156</v>
      </c>
      <c r="F87" t="s">
        <v>23</v>
      </c>
      <c r="G87">
        <v>1</v>
      </c>
      <c r="H87">
        <v>365.34</v>
      </c>
      <c r="I87" t="s">
        <v>47</v>
      </c>
      <c r="J87" t="s">
        <v>31</v>
      </c>
      <c r="K87" s="2">
        <v>365.34</v>
      </c>
      <c r="L87" s="1">
        <v>45936</v>
      </c>
      <c r="M87">
        <v>365.34</v>
      </c>
    </row>
    <row r="88" spans="1:13" x14ac:dyDescent="0.35">
      <c r="A88">
        <v>187</v>
      </c>
      <c r="B88" t="s">
        <v>261</v>
      </c>
      <c r="C88" t="s">
        <v>262</v>
      </c>
      <c r="D88" t="s">
        <v>263</v>
      </c>
      <c r="E88" t="s">
        <v>22</v>
      </c>
      <c r="F88" t="s">
        <v>23</v>
      </c>
      <c r="G88">
        <v>3</v>
      </c>
      <c r="H88">
        <v>882.96</v>
      </c>
      <c r="I88" t="s">
        <v>47</v>
      </c>
      <c r="J88" t="s">
        <v>50</v>
      </c>
      <c r="K88" s="2">
        <v>2648.88</v>
      </c>
      <c r="L88" s="1">
        <v>45615</v>
      </c>
      <c r="M88">
        <v>2648.88</v>
      </c>
    </row>
    <row r="89" spans="1:13" x14ac:dyDescent="0.35">
      <c r="A89">
        <v>188</v>
      </c>
      <c r="B89" t="s">
        <v>264</v>
      </c>
      <c r="C89" t="s">
        <v>265</v>
      </c>
      <c r="D89" t="s">
        <v>263</v>
      </c>
      <c r="E89" t="s">
        <v>78</v>
      </c>
      <c r="F89" t="s">
        <v>17</v>
      </c>
      <c r="G89">
        <v>5</v>
      </c>
      <c r="H89">
        <v>504.05</v>
      </c>
      <c r="I89" t="s">
        <v>18</v>
      </c>
      <c r="J89" t="s">
        <v>19</v>
      </c>
      <c r="K89" s="2">
        <v>2520.25</v>
      </c>
      <c r="L89" s="1">
        <v>45615</v>
      </c>
      <c r="M89">
        <v>2520.25</v>
      </c>
    </row>
    <row r="90" spans="1:13" x14ac:dyDescent="0.35">
      <c r="A90">
        <v>189</v>
      </c>
      <c r="B90" t="s">
        <v>266</v>
      </c>
      <c r="C90" t="s">
        <v>267</v>
      </c>
      <c r="D90" t="s">
        <v>258</v>
      </c>
      <c r="E90" t="s">
        <v>110</v>
      </c>
      <c r="F90" t="s">
        <v>17</v>
      </c>
      <c r="G90">
        <v>1</v>
      </c>
      <c r="H90">
        <v>814.68</v>
      </c>
      <c r="I90" t="s">
        <v>18</v>
      </c>
      <c r="J90" t="s">
        <v>50</v>
      </c>
      <c r="K90" s="2">
        <v>814.68</v>
      </c>
      <c r="L90" s="1">
        <v>45883</v>
      </c>
      <c r="M90">
        <v>814.68</v>
      </c>
    </row>
    <row r="91" spans="1:13" x14ac:dyDescent="0.35">
      <c r="A91">
        <v>190</v>
      </c>
      <c r="B91" t="s">
        <v>268</v>
      </c>
      <c r="C91" t="s">
        <v>269</v>
      </c>
      <c r="D91" t="s">
        <v>167</v>
      </c>
      <c r="E91" t="s">
        <v>98</v>
      </c>
      <c r="F91" t="s">
        <v>17</v>
      </c>
      <c r="G91">
        <v>1</v>
      </c>
      <c r="H91">
        <v>920.37</v>
      </c>
      <c r="I91" t="s">
        <v>47</v>
      </c>
      <c r="J91" t="s">
        <v>25</v>
      </c>
      <c r="K91" s="2">
        <v>920.37</v>
      </c>
      <c r="L91" s="1">
        <v>45837</v>
      </c>
      <c r="M91">
        <v>920.37</v>
      </c>
    </row>
    <row r="92" spans="1:13" x14ac:dyDescent="0.35">
      <c r="A92">
        <v>191</v>
      </c>
      <c r="B92" t="s">
        <v>270</v>
      </c>
      <c r="C92" t="s">
        <v>271</v>
      </c>
      <c r="D92" t="s">
        <v>272</v>
      </c>
      <c r="E92" t="s">
        <v>72</v>
      </c>
      <c r="F92" t="s">
        <v>36</v>
      </c>
      <c r="G92">
        <v>2</v>
      </c>
      <c r="H92">
        <v>881.02</v>
      </c>
      <c r="I92" t="s">
        <v>18</v>
      </c>
      <c r="J92" t="s">
        <v>50</v>
      </c>
      <c r="K92" s="2">
        <v>1762.04</v>
      </c>
      <c r="L92" s="1">
        <v>45856</v>
      </c>
      <c r="M92">
        <v>1762.04</v>
      </c>
    </row>
    <row r="93" spans="1:13" x14ac:dyDescent="0.35">
      <c r="A93">
        <v>193</v>
      </c>
      <c r="B93" t="s">
        <v>273</v>
      </c>
      <c r="C93" t="s">
        <v>274</v>
      </c>
      <c r="D93" s="1">
        <v>45814</v>
      </c>
      <c r="E93" t="s">
        <v>60</v>
      </c>
      <c r="F93" t="s">
        <v>123</v>
      </c>
      <c r="G93">
        <v>3</v>
      </c>
      <c r="H93">
        <v>522.02</v>
      </c>
      <c r="I93" t="s">
        <v>24</v>
      </c>
      <c r="J93" t="s">
        <v>19</v>
      </c>
      <c r="K93" s="2">
        <v>1566.06</v>
      </c>
      <c r="L93" s="1">
        <v>45814</v>
      </c>
      <c r="M93">
        <v>1566.06</v>
      </c>
    </row>
    <row r="94" spans="1:13" x14ac:dyDescent="0.35">
      <c r="A94">
        <v>194</v>
      </c>
      <c r="B94" t="s">
        <v>275</v>
      </c>
      <c r="C94" t="s">
        <v>276</v>
      </c>
      <c r="D94" s="1">
        <v>45932</v>
      </c>
      <c r="E94" t="s">
        <v>110</v>
      </c>
      <c r="F94" t="s">
        <v>17</v>
      </c>
      <c r="G94">
        <v>5</v>
      </c>
      <c r="H94">
        <v>944.54</v>
      </c>
      <c r="I94" t="s">
        <v>18</v>
      </c>
      <c r="J94" t="s">
        <v>50</v>
      </c>
      <c r="K94" s="2">
        <v>4722.7</v>
      </c>
      <c r="L94" s="1">
        <v>45698</v>
      </c>
      <c r="M94">
        <v>4722.7</v>
      </c>
    </row>
    <row r="95" spans="1:13" x14ac:dyDescent="0.35">
      <c r="A95">
        <v>195</v>
      </c>
      <c r="B95" t="s">
        <v>277</v>
      </c>
      <c r="C95" t="s">
        <v>278</v>
      </c>
      <c r="D95" t="s">
        <v>279</v>
      </c>
      <c r="E95" t="s">
        <v>40</v>
      </c>
      <c r="F95" t="s">
        <v>36</v>
      </c>
      <c r="G95">
        <v>5</v>
      </c>
      <c r="H95">
        <v>817.46</v>
      </c>
      <c r="I95" t="s">
        <v>18</v>
      </c>
      <c r="J95" t="s">
        <v>50</v>
      </c>
      <c r="K95" s="2">
        <v>4087.3</v>
      </c>
      <c r="L95" s="1">
        <v>45827</v>
      </c>
      <c r="M95">
        <v>4087.3</v>
      </c>
    </row>
    <row r="96" spans="1:13" x14ac:dyDescent="0.35">
      <c r="A96">
        <v>196</v>
      </c>
      <c r="B96" t="s">
        <v>280</v>
      </c>
      <c r="C96" t="s">
        <v>281</v>
      </c>
      <c r="D96" t="s">
        <v>28</v>
      </c>
      <c r="E96" t="s">
        <v>98</v>
      </c>
      <c r="F96" t="s">
        <v>17</v>
      </c>
      <c r="G96">
        <v>3</v>
      </c>
      <c r="H96">
        <v>538.35</v>
      </c>
      <c r="I96" t="s">
        <v>24</v>
      </c>
      <c r="J96" t="s">
        <v>31</v>
      </c>
      <c r="K96" s="3">
        <v>1615.05</v>
      </c>
      <c r="L96" s="1">
        <v>45649</v>
      </c>
      <c r="M96" s="3">
        <v>1615.05</v>
      </c>
    </row>
    <row r="97" spans="1:13" x14ac:dyDescent="0.35">
      <c r="A97">
        <v>197</v>
      </c>
      <c r="B97" t="s">
        <v>282</v>
      </c>
      <c r="C97" t="s">
        <v>283</v>
      </c>
      <c r="D97" t="s">
        <v>284</v>
      </c>
      <c r="E97" t="s">
        <v>16</v>
      </c>
      <c r="F97" t="s">
        <v>17</v>
      </c>
      <c r="G97">
        <v>1</v>
      </c>
      <c r="H97">
        <v>160.16</v>
      </c>
      <c r="I97" t="s">
        <v>24</v>
      </c>
      <c r="J97" t="s">
        <v>44</v>
      </c>
      <c r="K97" s="2">
        <v>160.16</v>
      </c>
      <c r="L97" s="1">
        <v>45831</v>
      </c>
      <c r="M97">
        <v>160.16</v>
      </c>
    </row>
    <row r="98" spans="1:13" x14ac:dyDescent="0.35">
      <c r="A98">
        <v>198</v>
      </c>
      <c r="B98" t="s">
        <v>285</v>
      </c>
      <c r="C98" t="s">
        <v>286</v>
      </c>
      <c r="D98" t="s">
        <v>287</v>
      </c>
      <c r="E98" t="s">
        <v>98</v>
      </c>
      <c r="F98" t="s">
        <v>123</v>
      </c>
      <c r="G98">
        <v>2</v>
      </c>
      <c r="H98">
        <v>497.01</v>
      </c>
      <c r="I98" t="s">
        <v>18</v>
      </c>
      <c r="J98" t="s">
        <v>19</v>
      </c>
      <c r="K98" s="2">
        <v>994.02</v>
      </c>
      <c r="L98" s="1">
        <v>45865</v>
      </c>
      <c r="M98">
        <v>994.02</v>
      </c>
    </row>
    <row r="99" spans="1:13" x14ac:dyDescent="0.35">
      <c r="A99">
        <v>199</v>
      </c>
      <c r="B99" t="s">
        <v>288</v>
      </c>
      <c r="C99" t="s">
        <v>289</v>
      </c>
      <c r="D99" t="s">
        <v>290</v>
      </c>
      <c r="E99" t="s">
        <v>16</v>
      </c>
      <c r="F99" t="s">
        <v>17</v>
      </c>
      <c r="G99">
        <v>5</v>
      </c>
      <c r="H99">
        <v>372.28</v>
      </c>
      <c r="I99" t="s">
        <v>56</v>
      </c>
      <c r="J99" t="s">
        <v>19</v>
      </c>
      <c r="K99" s="3">
        <v>1861.3999999999901</v>
      </c>
      <c r="L99" s="1">
        <v>45679</v>
      </c>
      <c r="M99" s="3">
        <v>1861.3999999999901</v>
      </c>
    </row>
    <row r="100" spans="1:13" x14ac:dyDescent="0.35">
      <c r="A100">
        <v>175</v>
      </c>
      <c r="B100" t="s">
        <v>230</v>
      </c>
      <c r="C100" t="s">
        <v>231</v>
      </c>
      <c r="D100" t="s">
        <v>232</v>
      </c>
      <c r="E100" t="s">
        <v>132</v>
      </c>
      <c r="F100" t="s">
        <v>23</v>
      </c>
      <c r="G100">
        <v>1</v>
      </c>
      <c r="H100">
        <v>111.36</v>
      </c>
      <c r="I100" t="s">
        <v>56</v>
      </c>
      <c r="J100" t="s">
        <v>25</v>
      </c>
      <c r="K100" s="2">
        <v>111.36</v>
      </c>
      <c r="L100" s="1">
        <v>45712</v>
      </c>
      <c r="M100">
        <v>111.36</v>
      </c>
    </row>
    <row r="101" spans="1:13" x14ac:dyDescent="0.35">
      <c r="A101">
        <v>142</v>
      </c>
      <c r="B101" t="s">
        <v>146</v>
      </c>
      <c r="C101" t="s">
        <v>147</v>
      </c>
      <c r="D101" t="s">
        <v>77</v>
      </c>
      <c r="E101" t="s">
        <v>67</v>
      </c>
      <c r="F101" t="s">
        <v>68</v>
      </c>
      <c r="G101">
        <v>5</v>
      </c>
      <c r="H101">
        <v>645.26</v>
      </c>
      <c r="I101" t="s">
        <v>56</v>
      </c>
      <c r="J101" t="s">
        <v>19</v>
      </c>
      <c r="K101" s="2">
        <v>3226.3</v>
      </c>
      <c r="L101" s="1">
        <v>45960</v>
      </c>
      <c r="M101">
        <v>3226.3</v>
      </c>
    </row>
  </sheetData>
  <conditionalFormatting sqref="M1:M101">
    <cfRule type="top10" dxfId="0" priority="1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829C-32C2-4103-A845-A7EB061279C2}">
  <dimension ref="C1:G10"/>
  <sheetViews>
    <sheetView workbookViewId="0"/>
  </sheetViews>
  <sheetFormatPr defaultRowHeight="14.5" x14ac:dyDescent="0.35"/>
  <cols>
    <col min="1" max="2" width="8.7265625" style="8"/>
    <col min="3" max="3" width="12.1796875" style="8" bestFit="1" customWidth="1"/>
    <col min="4" max="4" width="12.7265625" style="8" bestFit="1" customWidth="1"/>
    <col min="5" max="5" width="12.54296875" style="8" bestFit="1" customWidth="1"/>
    <col min="6" max="6" width="15" style="8" bestFit="1" customWidth="1"/>
    <col min="7" max="7" width="17.6328125" style="8" bestFit="1" customWidth="1"/>
    <col min="8" max="16384" width="8.7265625" style="8"/>
  </cols>
  <sheetData>
    <row r="1" spans="3:7" ht="15" thickBot="1" x14ac:dyDescent="0.4">
      <c r="C1" s="19" t="s">
        <v>293</v>
      </c>
      <c r="E1" s="19" t="s">
        <v>294</v>
      </c>
      <c r="G1" s="19" t="s">
        <v>295</v>
      </c>
    </row>
    <row r="2" spans="3:7" ht="15" thickBot="1" x14ac:dyDescent="0.4">
      <c r="C2" s="20">
        <v>101</v>
      </c>
      <c r="E2" s="22">
        <v>135499.8299999999</v>
      </c>
      <c r="G2" s="22">
        <v>1354.9982999999991</v>
      </c>
    </row>
    <row r="4" spans="3:7" ht="15" thickBot="1" x14ac:dyDescent="0.4"/>
    <row r="5" spans="3:7" ht="15" thickBot="1" x14ac:dyDescent="0.4">
      <c r="C5" s="19" t="s">
        <v>296</v>
      </c>
      <c r="E5" s="19" t="s">
        <v>297</v>
      </c>
      <c r="G5" s="19" t="s">
        <v>298</v>
      </c>
    </row>
    <row r="6" spans="3:7" ht="15" thickBot="1" x14ac:dyDescent="0.4">
      <c r="C6" s="21">
        <v>4722.7</v>
      </c>
      <c r="E6" s="21">
        <v>-20000</v>
      </c>
      <c r="G6" s="21">
        <v>100</v>
      </c>
    </row>
    <row r="8" spans="3:7" ht="15" thickBot="1" x14ac:dyDescent="0.4"/>
    <row r="9" spans="3:7" ht="15" thickBot="1" x14ac:dyDescent="0.4">
      <c r="D9" s="19" t="s">
        <v>299</v>
      </c>
      <c r="F9" s="19" t="s">
        <v>300</v>
      </c>
    </row>
    <row r="10" spans="3:7" ht="15" thickBot="1" x14ac:dyDescent="0.4">
      <c r="D10" s="21">
        <v>22</v>
      </c>
      <c r="F10" s="21">
        <v>2.94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B998-D22C-4F80-80D0-CD98461908C4}">
  <dimension ref="A1:C106"/>
  <sheetViews>
    <sheetView workbookViewId="0"/>
  </sheetViews>
  <sheetFormatPr defaultRowHeight="14.5" x14ac:dyDescent="0.35"/>
  <cols>
    <col min="1" max="1" width="12.453125" bestFit="1" customWidth="1"/>
    <col min="2" max="2" width="16.54296875" bestFit="1" customWidth="1"/>
    <col min="3" max="3" width="13.36328125" bestFit="1" customWidth="1"/>
    <col min="4" max="4" width="14.26953125" bestFit="1" customWidth="1"/>
    <col min="5" max="5" width="12.453125" bestFit="1" customWidth="1"/>
    <col min="6" max="6" width="11.1796875" bestFit="1" customWidth="1"/>
    <col min="7" max="7" width="12.453125" bestFit="1" customWidth="1"/>
    <col min="8" max="10" width="15.6328125" bestFit="1" customWidth="1"/>
  </cols>
  <sheetData>
    <row r="1" spans="1:2" ht="15" thickBot="1" x14ac:dyDescent="0.4"/>
    <row r="2" spans="1:2" ht="15" thickBot="1" x14ac:dyDescent="0.4">
      <c r="A2" s="17" t="s">
        <v>307</v>
      </c>
      <c r="B2" s="18"/>
    </row>
    <row r="3" spans="1:2" x14ac:dyDescent="0.35">
      <c r="A3" s="12" t="s">
        <v>291</v>
      </c>
      <c r="B3" s="13" t="s">
        <v>301</v>
      </c>
    </row>
    <row r="4" spans="1:2" x14ac:dyDescent="0.35">
      <c r="A4" s="6" t="s">
        <v>36</v>
      </c>
      <c r="B4" s="7">
        <v>41048.859999999986</v>
      </c>
    </row>
    <row r="5" spans="1:2" x14ac:dyDescent="0.35">
      <c r="A5" s="6" t="s">
        <v>68</v>
      </c>
      <c r="B5" s="7">
        <v>29078.130000000012</v>
      </c>
    </row>
    <row r="6" spans="1:2" x14ac:dyDescent="0.35">
      <c r="A6" s="6" t="s">
        <v>23</v>
      </c>
      <c r="B6" s="7">
        <v>10891.98</v>
      </c>
    </row>
    <row r="7" spans="1:2" x14ac:dyDescent="0.35">
      <c r="A7" s="6" t="s">
        <v>17</v>
      </c>
      <c r="B7" s="7">
        <v>16427.769999999979</v>
      </c>
    </row>
    <row r="8" spans="1:2" x14ac:dyDescent="0.35">
      <c r="A8" s="6" t="s">
        <v>30</v>
      </c>
      <c r="B8" s="7">
        <v>29418.699999999997</v>
      </c>
    </row>
    <row r="9" spans="1:2" x14ac:dyDescent="0.35">
      <c r="A9" s="6" t="s">
        <v>123</v>
      </c>
      <c r="B9" s="7">
        <v>8634.3900000000012</v>
      </c>
    </row>
    <row r="10" spans="1:2" x14ac:dyDescent="0.35">
      <c r="A10" s="6" t="s">
        <v>292</v>
      </c>
      <c r="B10" s="7">
        <v>135499.82999999996</v>
      </c>
    </row>
    <row r="19" spans="1:2" ht="15" thickBot="1" x14ac:dyDescent="0.4"/>
    <row r="20" spans="1:2" ht="15" thickBot="1" x14ac:dyDescent="0.4">
      <c r="A20" s="17" t="s">
        <v>308</v>
      </c>
      <c r="B20" s="18"/>
    </row>
    <row r="21" spans="1:2" x14ac:dyDescent="0.35">
      <c r="A21" s="12" t="s">
        <v>291</v>
      </c>
      <c r="B21" s="13" t="s">
        <v>301</v>
      </c>
    </row>
    <row r="22" spans="1:2" x14ac:dyDescent="0.35">
      <c r="A22" s="6" t="s">
        <v>47</v>
      </c>
      <c r="B22" s="7">
        <v>46702.12</v>
      </c>
    </row>
    <row r="23" spans="1:2" x14ac:dyDescent="0.35">
      <c r="A23" s="6" t="s">
        <v>18</v>
      </c>
      <c r="B23" s="7">
        <v>30650.73</v>
      </c>
    </row>
    <row r="24" spans="1:2" x14ac:dyDescent="0.35">
      <c r="A24" s="6" t="s">
        <v>56</v>
      </c>
      <c r="B24" s="7">
        <v>29532.299999999977</v>
      </c>
    </row>
    <row r="25" spans="1:2" x14ac:dyDescent="0.35">
      <c r="A25" s="6" t="s">
        <v>24</v>
      </c>
      <c r="B25" s="7">
        <v>28614.679999999993</v>
      </c>
    </row>
    <row r="26" spans="1:2" x14ac:dyDescent="0.35">
      <c r="A26" s="6" t="s">
        <v>292</v>
      </c>
      <c r="B26" s="7">
        <v>135499.82999999996</v>
      </c>
    </row>
    <row r="38" spans="1:2" ht="15" thickBot="1" x14ac:dyDescent="0.4"/>
    <row r="39" spans="1:2" ht="15" thickBot="1" x14ac:dyDescent="0.4">
      <c r="A39" s="17" t="s">
        <v>309</v>
      </c>
      <c r="B39" s="18"/>
    </row>
    <row r="40" spans="1:2" x14ac:dyDescent="0.35">
      <c r="A40" s="12" t="s">
        <v>291</v>
      </c>
      <c r="B40" s="13" t="s">
        <v>302</v>
      </c>
    </row>
    <row r="41" spans="1:2" x14ac:dyDescent="0.35">
      <c r="A41" s="6" t="s">
        <v>44</v>
      </c>
      <c r="B41" s="9">
        <v>15</v>
      </c>
    </row>
    <row r="42" spans="1:2" x14ac:dyDescent="0.35">
      <c r="A42" s="6" t="s">
        <v>31</v>
      </c>
      <c r="B42" s="9">
        <v>11</v>
      </c>
    </row>
    <row r="43" spans="1:2" x14ac:dyDescent="0.35">
      <c r="A43" s="6" t="s">
        <v>25</v>
      </c>
      <c r="B43" s="9">
        <v>26</v>
      </c>
    </row>
    <row r="44" spans="1:2" x14ac:dyDescent="0.35">
      <c r="A44" s="6" t="s">
        <v>50</v>
      </c>
      <c r="B44" s="9">
        <v>26</v>
      </c>
    </row>
    <row r="45" spans="1:2" x14ac:dyDescent="0.35">
      <c r="A45" s="6" t="s">
        <v>19</v>
      </c>
      <c r="B45" s="9">
        <v>22</v>
      </c>
    </row>
    <row r="46" spans="1:2" x14ac:dyDescent="0.35">
      <c r="A46" s="6" t="s">
        <v>292</v>
      </c>
      <c r="B46" s="9">
        <v>100</v>
      </c>
    </row>
    <row r="56" spans="1:3" ht="15" thickBot="1" x14ac:dyDescent="0.4"/>
    <row r="57" spans="1:3" ht="15" thickBot="1" x14ac:dyDescent="0.4">
      <c r="A57" s="14" t="s">
        <v>310</v>
      </c>
      <c r="B57" s="15"/>
      <c r="C57" s="16"/>
    </row>
    <row r="58" spans="1:3" x14ac:dyDescent="0.35">
      <c r="A58" s="12" t="s">
        <v>291</v>
      </c>
      <c r="B58" s="13" t="s">
        <v>303</v>
      </c>
      <c r="C58" s="13" t="s">
        <v>301</v>
      </c>
    </row>
    <row r="59" spans="1:3" x14ac:dyDescent="0.35">
      <c r="A59" s="6" t="s">
        <v>67</v>
      </c>
      <c r="B59" s="9">
        <v>33</v>
      </c>
      <c r="C59" s="7">
        <v>20646.719999999998</v>
      </c>
    </row>
    <row r="60" spans="1:3" x14ac:dyDescent="0.35">
      <c r="A60" s="6" t="s">
        <v>64</v>
      </c>
      <c r="B60" s="9">
        <v>25</v>
      </c>
      <c r="C60" s="7">
        <v>17420.39</v>
      </c>
    </row>
    <row r="61" spans="1:3" x14ac:dyDescent="0.35">
      <c r="A61" s="6" t="s">
        <v>110</v>
      </c>
      <c r="B61" s="9">
        <v>23</v>
      </c>
      <c r="C61" s="7">
        <v>14306.439999999991</v>
      </c>
    </row>
    <row r="62" spans="1:3" x14ac:dyDescent="0.35">
      <c r="A62" s="6" t="s">
        <v>60</v>
      </c>
      <c r="B62" s="9">
        <v>22</v>
      </c>
      <c r="C62" s="7">
        <v>11877.369999999999</v>
      </c>
    </row>
    <row r="63" spans="1:3" x14ac:dyDescent="0.35">
      <c r="A63" s="6" t="s">
        <v>40</v>
      </c>
      <c r="B63" s="9">
        <v>18</v>
      </c>
      <c r="C63" s="7">
        <v>9577.3899999999885</v>
      </c>
    </row>
    <row r="64" spans="1:3" x14ac:dyDescent="0.35">
      <c r="A64" s="6" t="s">
        <v>35</v>
      </c>
      <c r="B64" s="9">
        <v>24</v>
      </c>
      <c r="C64" s="7">
        <v>8005.71</v>
      </c>
    </row>
    <row r="65" spans="1:3" x14ac:dyDescent="0.35">
      <c r="A65" s="6" t="s">
        <v>72</v>
      </c>
      <c r="B65" s="9">
        <v>12</v>
      </c>
      <c r="C65" s="7">
        <v>7761.57</v>
      </c>
    </row>
    <row r="66" spans="1:3" x14ac:dyDescent="0.35">
      <c r="A66" s="6" t="s">
        <v>78</v>
      </c>
      <c r="B66" s="9">
        <v>18</v>
      </c>
      <c r="C66" s="7">
        <v>7026.91</v>
      </c>
    </row>
    <row r="67" spans="1:3" x14ac:dyDescent="0.35">
      <c r="A67" s="6" t="s">
        <v>90</v>
      </c>
      <c r="B67" s="9">
        <v>14</v>
      </c>
      <c r="C67" s="7">
        <v>6886.24999999999</v>
      </c>
    </row>
    <row r="68" spans="1:3" x14ac:dyDescent="0.35">
      <c r="A68" s="6" t="s">
        <v>29</v>
      </c>
      <c r="B68" s="9">
        <v>18</v>
      </c>
      <c r="C68" s="7">
        <v>6513.9500000000007</v>
      </c>
    </row>
    <row r="69" spans="1:3" x14ac:dyDescent="0.35">
      <c r="A69" s="6" t="s">
        <v>153</v>
      </c>
      <c r="B69" s="9">
        <v>7</v>
      </c>
      <c r="C69" s="7">
        <v>5707.1900000000005</v>
      </c>
    </row>
    <row r="70" spans="1:3" x14ac:dyDescent="0.35">
      <c r="A70" s="6" t="s">
        <v>22</v>
      </c>
      <c r="B70" s="9">
        <v>8</v>
      </c>
      <c r="C70" s="7">
        <v>5354.82</v>
      </c>
    </row>
    <row r="71" spans="1:3" x14ac:dyDescent="0.35">
      <c r="A71" s="6" t="s">
        <v>188</v>
      </c>
      <c r="B71" s="9">
        <v>11</v>
      </c>
      <c r="C71" s="7">
        <v>5189.6100000000006</v>
      </c>
    </row>
    <row r="72" spans="1:3" x14ac:dyDescent="0.35">
      <c r="A72" s="6" t="s">
        <v>98</v>
      </c>
      <c r="B72" s="9">
        <v>12</v>
      </c>
      <c r="C72" s="7">
        <v>5077.17</v>
      </c>
    </row>
    <row r="73" spans="1:3" x14ac:dyDescent="0.35">
      <c r="A73" s="6" t="s">
        <v>161</v>
      </c>
      <c r="B73" s="9">
        <v>8</v>
      </c>
      <c r="C73" s="7">
        <v>3485</v>
      </c>
    </row>
    <row r="74" spans="1:3" x14ac:dyDescent="0.35">
      <c r="A74" s="6" t="s">
        <v>129</v>
      </c>
      <c r="B74" s="9">
        <v>8</v>
      </c>
      <c r="C74" s="7">
        <v>3424.12</v>
      </c>
    </row>
    <row r="75" spans="1:3" x14ac:dyDescent="0.35">
      <c r="A75" s="6" t="s">
        <v>156</v>
      </c>
      <c r="B75" s="9">
        <v>6</v>
      </c>
      <c r="C75" s="7">
        <v>2993.5600000000004</v>
      </c>
    </row>
    <row r="76" spans="1:3" x14ac:dyDescent="0.35">
      <c r="A76" s="6" t="s">
        <v>126</v>
      </c>
      <c r="B76" s="9">
        <v>2</v>
      </c>
      <c r="C76" s="7">
        <v>2314.96000000001</v>
      </c>
    </row>
    <row r="77" spans="1:3" x14ac:dyDescent="0.35">
      <c r="A77" s="6" t="s">
        <v>132</v>
      </c>
      <c r="B77" s="9">
        <v>3</v>
      </c>
      <c r="C77" s="7">
        <v>919.43000000000006</v>
      </c>
    </row>
    <row r="78" spans="1:3" x14ac:dyDescent="0.35">
      <c r="A78" s="6" t="s">
        <v>16</v>
      </c>
      <c r="B78" s="9">
        <v>22</v>
      </c>
      <c r="C78" s="7">
        <v>-8988.7300000000105</v>
      </c>
    </row>
    <row r="79" spans="1:3" x14ac:dyDescent="0.35">
      <c r="A79" s="6" t="s">
        <v>292</v>
      </c>
      <c r="B79" s="9">
        <v>294</v>
      </c>
      <c r="C79" s="7">
        <v>135499.82999999996</v>
      </c>
    </row>
    <row r="85" spans="1:2" ht="15" thickBot="1" x14ac:dyDescent="0.4"/>
    <row r="86" spans="1:2" ht="15" thickBot="1" x14ac:dyDescent="0.4">
      <c r="A86" s="17" t="s">
        <v>311</v>
      </c>
      <c r="B86" s="18"/>
    </row>
    <row r="87" spans="1:2" x14ac:dyDescent="0.35">
      <c r="A87" s="4" t="s">
        <v>291</v>
      </c>
      <c r="B87" s="5" t="s">
        <v>301</v>
      </c>
    </row>
    <row r="88" spans="1:2" x14ac:dyDescent="0.35">
      <c r="A88" s="6" t="s">
        <v>304</v>
      </c>
      <c r="B88" s="10">
        <v>2427.7600000000002</v>
      </c>
    </row>
    <row r="89" spans="1:2" x14ac:dyDescent="0.35">
      <c r="A89" s="11" t="s">
        <v>312</v>
      </c>
      <c r="B89" s="10">
        <v>705.78</v>
      </c>
    </row>
    <row r="90" spans="1:2" x14ac:dyDescent="0.35">
      <c r="A90" s="11" t="s">
        <v>313</v>
      </c>
      <c r="B90" s="10">
        <v>1721.98</v>
      </c>
    </row>
    <row r="91" spans="1:2" x14ac:dyDescent="0.35">
      <c r="A91" s="6" t="s">
        <v>305</v>
      </c>
      <c r="B91" s="10">
        <v>21042.909999999996</v>
      </c>
    </row>
    <row r="92" spans="1:2" x14ac:dyDescent="0.35">
      <c r="A92" s="11" t="s">
        <v>314</v>
      </c>
      <c r="B92" s="10">
        <v>12400.05</v>
      </c>
    </row>
    <row r="93" spans="1:2" x14ac:dyDescent="0.35">
      <c r="A93" s="11" t="s">
        <v>315</v>
      </c>
      <c r="B93" s="10">
        <v>8642.8599999999988</v>
      </c>
    </row>
    <row r="94" spans="1:2" x14ac:dyDescent="0.35">
      <c r="A94" s="6" t="s">
        <v>306</v>
      </c>
      <c r="B94" s="10">
        <v>112029.16</v>
      </c>
    </row>
    <row r="95" spans="1:2" x14ac:dyDescent="0.35">
      <c r="A95" s="11" t="s">
        <v>312</v>
      </c>
      <c r="B95" s="10">
        <v>11851.42999999998</v>
      </c>
    </row>
    <row r="96" spans="1:2" x14ac:dyDescent="0.35">
      <c r="A96" s="11" t="s">
        <v>316</v>
      </c>
      <c r="B96" s="10">
        <v>3901.5099999999998</v>
      </c>
    </row>
    <row r="97" spans="1:2" x14ac:dyDescent="0.35">
      <c r="A97" s="11" t="s">
        <v>317</v>
      </c>
      <c r="B97" s="10">
        <v>8367.61</v>
      </c>
    </row>
    <row r="98" spans="1:2" x14ac:dyDescent="0.35">
      <c r="A98" s="11" t="s">
        <v>318</v>
      </c>
      <c r="B98" s="10">
        <v>1200.28</v>
      </c>
    </row>
    <row r="99" spans="1:2" x14ac:dyDescent="0.35">
      <c r="A99" s="11" t="s">
        <v>313</v>
      </c>
      <c r="B99" s="10">
        <v>13650.780000000002</v>
      </c>
    </row>
    <row r="100" spans="1:2" x14ac:dyDescent="0.35">
      <c r="A100" s="11" t="s">
        <v>319</v>
      </c>
      <c r="B100" s="10">
        <v>20634.240000000002</v>
      </c>
    </row>
    <row r="101" spans="1:2" x14ac:dyDescent="0.35">
      <c r="A101" s="11" t="s">
        <v>320</v>
      </c>
      <c r="B101" s="10">
        <v>16169.5</v>
      </c>
    </row>
    <row r="102" spans="1:2" x14ac:dyDescent="0.35">
      <c r="A102" s="11" t="s">
        <v>321</v>
      </c>
      <c r="B102" s="10">
        <v>8401.6</v>
      </c>
    </row>
    <row r="103" spans="1:2" x14ac:dyDescent="0.35">
      <c r="A103" s="11" t="s">
        <v>322</v>
      </c>
      <c r="B103" s="10">
        <v>8163.4299999999903</v>
      </c>
    </row>
    <row r="104" spans="1:2" x14ac:dyDescent="0.35">
      <c r="A104" s="11" t="s">
        <v>323</v>
      </c>
      <c r="B104" s="10">
        <v>18305.400000000001</v>
      </c>
    </row>
    <row r="105" spans="1:2" x14ac:dyDescent="0.35">
      <c r="A105" s="11" t="s">
        <v>314</v>
      </c>
      <c r="B105" s="10">
        <v>1383.38</v>
      </c>
    </row>
    <row r="106" spans="1:2" x14ac:dyDescent="0.35">
      <c r="A106" s="6" t="s">
        <v>292</v>
      </c>
      <c r="B106" s="10">
        <v>135499.82999999999</v>
      </c>
    </row>
  </sheetData>
  <autoFilter ref="A58:C79" xr:uid="{C044B998-D22C-4F80-80D0-CD98461908C4}"/>
  <mergeCells count="5">
    <mergeCell ref="A2:B2"/>
    <mergeCell ref="A20:B20"/>
    <mergeCell ref="A39:B39"/>
    <mergeCell ref="A57:C57"/>
    <mergeCell ref="A86:B86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D603-8032-47D2-B70A-1F9384AFBD8A}">
  <dimension ref="B3:K5"/>
  <sheetViews>
    <sheetView showGridLines="0" zoomScale="90" zoomScaleNormal="90" workbookViewId="0"/>
  </sheetViews>
  <sheetFormatPr defaultRowHeight="14.5" x14ac:dyDescent="0.35"/>
  <cols>
    <col min="1" max="1" width="8.7265625" style="23"/>
    <col min="2" max="2" width="12.54296875" style="23" bestFit="1" customWidth="1"/>
    <col min="3" max="3" width="8.7265625" style="23"/>
    <col min="4" max="5" width="10.81640625" style="23" bestFit="1" customWidth="1"/>
    <col min="6" max="6" width="17.6328125" style="23" bestFit="1" customWidth="1"/>
    <col min="7" max="7" width="8.7265625" style="23"/>
    <col min="8" max="8" width="17.6328125" style="23" bestFit="1" customWidth="1"/>
    <col min="9" max="10" width="8.7265625" style="23"/>
    <col min="11" max="11" width="14.453125" style="23" bestFit="1" customWidth="1"/>
    <col min="12" max="16384" width="8.7265625" style="23"/>
  </cols>
  <sheetData>
    <row r="3" spans="2:11" ht="15" thickBot="1" x14ac:dyDescent="0.4"/>
    <row r="4" spans="2:11" ht="15" thickBot="1" x14ac:dyDescent="0.4">
      <c r="B4" s="19" t="s">
        <v>294</v>
      </c>
      <c r="E4" s="19" t="s">
        <v>293</v>
      </c>
      <c r="H4" s="19" t="s">
        <v>295</v>
      </c>
      <c r="K4" s="19" t="s">
        <v>298</v>
      </c>
    </row>
    <row r="5" spans="2:11" ht="15" thickBot="1" x14ac:dyDescent="0.4">
      <c r="B5" s="22">
        <v>135499.8299999999</v>
      </c>
      <c r="E5" s="20">
        <v>101</v>
      </c>
      <c r="H5" s="22">
        <v>1354.9982999999991</v>
      </c>
      <c r="K5" s="21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1EFB-3748-46C6-B2B5-DF15EADE1C97}">
  <dimension ref="A2:A6"/>
  <sheetViews>
    <sheetView workbookViewId="0"/>
  </sheetViews>
  <sheetFormatPr defaultRowHeight="14.5" x14ac:dyDescent="0.35"/>
  <sheetData>
    <row r="2" spans="1:1" x14ac:dyDescent="0.35">
      <c r="A2" s="24" t="s">
        <v>324</v>
      </c>
    </row>
    <row r="3" spans="1:1" x14ac:dyDescent="0.35">
      <c r="A3" s="24" t="s">
        <v>325</v>
      </c>
    </row>
    <row r="4" spans="1:1" x14ac:dyDescent="0.35">
      <c r="A4" s="25" t="s">
        <v>328</v>
      </c>
    </row>
    <row r="5" spans="1:1" x14ac:dyDescent="0.35">
      <c r="A5" s="24" t="s">
        <v>326</v>
      </c>
    </row>
    <row r="6" spans="1:1" x14ac:dyDescent="0.35">
      <c r="A6" s="2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Summary</vt:lpstr>
      <vt:lpstr>Pivot Analysis</vt:lpstr>
      <vt:lpstr>Dashboard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R Golecha (US)</cp:lastModifiedBy>
  <dcterms:created xsi:type="dcterms:W3CDTF">2026-07-10T12:13:21Z</dcterms:created>
  <dcterms:modified xsi:type="dcterms:W3CDTF">2026-07-11T05:40:20Z</dcterms:modified>
</cp:coreProperties>
</file>